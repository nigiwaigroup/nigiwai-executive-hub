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9.Executive Assisttant\"/>
    </mc:Choice>
  </mc:AlternateContent>
  <xr:revisionPtr revIDLastSave="0" documentId="13_ncr:1_{3D915E51-1FD3-449D-B4FB-3D330C63DDDD}" xr6:coauthVersionLast="47" xr6:coauthVersionMax="47" xr10:uidLastSave="{00000000-0000-0000-0000-000000000000}"/>
  <bookViews>
    <workbookView xWindow="-120" yWindow="-120" windowWidth="38640" windowHeight="21390" xr2:uid="{C8BD6836-80E9-421B-BBBA-C0056C6DBB14}"/>
  </bookViews>
  <sheets>
    <sheet name="Salary 2026" sheetId="1" r:id="rId1"/>
  </sheets>
  <definedNames>
    <definedName name="_xlnm._FilterDatabase" localSheetId="0" hidden="1">'Salary 2026'!$A$2:$CL$50</definedName>
    <definedName name="_xlnm.Print_Area" localSheetId="0">'Salary 2026'!$A$1:$CL$50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9" i="1" l="1"/>
  <c r="AC50" i="1"/>
  <c r="AB50" i="1"/>
  <c r="Z50" i="1"/>
  <c r="Y50" i="1"/>
  <c r="W50" i="1"/>
  <c r="V50" i="1"/>
  <c r="T50" i="1"/>
  <c r="S50" i="1"/>
  <c r="Q50" i="1"/>
  <c r="P50" i="1"/>
  <c r="N50" i="1"/>
  <c r="M50" i="1"/>
  <c r="K50" i="1"/>
  <c r="J50" i="1"/>
  <c r="D50" i="1"/>
  <c r="AF49" i="1"/>
  <c r="AE49" i="1"/>
  <c r="AD49" i="1"/>
  <c r="R49" i="1"/>
  <c r="L49" i="1"/>
  <c r="AF48" i="1"/>
  <c r="AE48" i="1"/>
  <c r="AD48" i="1"/>
  <c r="R48" i="1"/>
  <c r="O48" i="1"/>
  <c r="L48" i="1"/>
  <c r="AF47" i="1"/>
  <c r="AE47" i="1"/>
  <c r="AD47" i="1"/>
  <c r="AA47" i="1"/>
  <c r="X47" i="1"/>
  <c r="U47" i="1"/>
  <c r="R47" i="1"/>
  <c r="O47" i="1"/>
  <c r="L47" i="1"/>
  <c r="AF46" i="1"/>
  <c r="AE46" i="1"/>
  <c r="AD46" i="1"/>
  <c r="AA46" i="1"/>
  <c r="X46" i="1"/>
  <c r="U46" i="1"/>
  <c r="R46" i="1"/>
  <c r="O46" i="1"/>
  <c r="L46" i="1"/>
  <c r="AF45" i="1"/>
  <c r="AE45" i="1"/>
  <c r="AD45" i="1"/>
  <c r="AA45" i="1"/>
  <c r="X45" i="1"/>
  <c r="U45" i="1"/>
  <c r="R45" i="1"/>
  <c r="O45" i="1"/>
  <c r="L45" i="1"/>
  <c r="AF44" i="1"/>
  <c r="AE44" i="1"/>
  <c r="AD44" i="1"/>
  <c r="AA44" i="1"/>
  <c r="X44" i="1"/>
  <c r="U44" i="1"/>
  <c r="R44" i="1"/>
  <c r="O44" i="1"/>
  <c r="L44" i="1"/>
  <c r="AF43" i="1"/>
  <c r="AE43" i="1"/>
  <c r="AD43" i="1"/>
  <c r="AA43" i="1"/>
  <c r="X43" i="1"/>
  <c r="U43" i="1"/>
  <c r="R43" i="1"/>
  <c r="O43" i="1"/>
  <c r="L43" i="1"/>
  <c r="AF42" i="1"/>
  <c r="AE42" i="1"/>
  <c r="AD42" i="1"/>
  <c r="AA42" i="1"/>
  <c r="X42" i="1"/>
  <c r="U42" i="1"/>
  <c r="R42" i="1"/>
  <c r="O42" i="1"/>
  <c r="L42" i="1"/>
  <c r="AF41" i="1"/>
  <c r="AE41" i="1"/>
  <c r="AD41" i="1"/>
  <c r="AA41" i="1"/>
  <c r="X41" i="1"/>
  <c r="U41" i="1"/>
  <c r="R41" i="1"/>
  <c r="O41" i="1"/>
  <c r="L41" i="1"/>
  <c r="AF40" i="1"/>
  <c r="AE40" i="1"/>
  <c r="AD40" i="1"/>
  <c r="AA40" i="1"/>
  <c r="X40" i="1"/>
  <c r="U40" i="1"/>
  <c r="R40" i="1"/>
  <c r="O40" i="1"/>
  <c r="L40" i="1"/>
  <c r="AF39" i="1"/>
  <c r="AE39" i="1"/>
  <c r="AD39" i="1"/>
  <c r="AA39" i="1"/>
  <c r="X39" i="1"/>
  <c r="U39" i="1"/>
  <c r="R39" i="1"/>
  <c r="O39" i="1"/>
  <c r="L39" i="1"/>
  <c r="AF38" i="1"/>
  <c r="AE38" i="1"/>
  <c r="AD38" i="1"/>
  <c r="AA38" i="1"/>
  <c r="X38" i="1"/>
  <c r="U38" i="1"/>
  <c r="R38" i="1"/>
  <c r="O38" i="1"/>
  <c r="L38" i="1"/>
  <c r="AF37" i="1"/>
  <c r="AE37" i="1"/>
  <c r="AD37" i="1"/>
  <c r="AA37" i="1"/>
  <c r="X37" i="1"/>
  <c r="U37" i="1"/>
  <c r="R37" i="1"/>
  <c r="O37" i="1"/>
  <c r="L37" i="1"/>
  <c r="AF36" i="1"/>
  <c r="AE36" i="1"/>
  <c r="AD36" i="1"/>
  <c r="AA36" i="1"/>
  <c r="X36" i="1"/>
  <c r="U36" i="1"/>
  <c r="R36" i="1"/>
  <c r="O36" i="1"/>
  <c r="L36" i="1"/>
  <c r="AF35" i="1"/>
  <c r="AE35" i="1"/>
  <c r="AD35" i="1"/>
  <c r="AA35" i="1"/>
  <c r="X35" i="1"/>
  <c r="U35" i="1"/>
  <c r="R35" i="1"/>
  <c r="O35" i="1"/>
  <c r="L35" i="1"/>
  <c r="AF34" i="1"/>
  <c r="AE34" i="1"/>
  <c r="AD34" i="1"/>
  <c r="AA34" i="1"/>
  <c r="X34" i="1"/>
  <c r="U34" i="1"/>
  <c r="R34" i="1"/>
  <c r="O34" i="1"/>
  <c r="L34" i="1"/>
  <c r="AF33" i="1"/>
  <c r="AE33" i="1"/>
  <c r="AD33" i="1"/>
  <c r="AA33" i="1"/>
  <c r="X33" i="1"/>
  <c r="U33" i="1"/>
  <c r="R33" i="1"/>
  <c r="O33" i="1"/>
  <c r="L33" i="1"/>
  <c r="AF32" i="1"/>
  <c r="AE32" i="1"/>
  <c r="AD32" i="1"/>
  <c r="AA32" i="1"/>
  <c r="X32" i="1"/>
  <c r="U32" i="1"/>
  <c r="R32" i="1"/>
  <c r="O32" i="1"/>
  <c r="L32" i="1"/>
  <c r="AF31" i="1"/>
  <c r="AE31" i="1"/>
  <c r="AD31" i="1"/>
  <c r="AA31" i="1"/>
  <c r="X31" i="1"/>
  <c r="U31" i="1"/>
  <c r="R31" i="1"/>
  <c r="O31" i="1"/>
  <c r="L31" i="1"/>
  <c r="AF30" i="1"/>
  <c r="AE30" i="1"/>
  <c r="AD30" i="1"/>
  <c r="AA30" i="1"/>
  <c r="X30" i="1"/>
  <c r="U30" i="1"/>
  <c r="R30" i="1"/>
  <c r="O30" i="1"/>
  <c r="L30" i="1"/>
  <c r="AF29" i="1"/>
  <c r="AE29" i="1"/>
  <c r="AD29" i="1"/>
  <c r="AA29" i="1"/>
  <c r="X29" i="1"/>
  <c r="U29" i="1"/>
  <c r="R29" i="1"/>
  <c r="O29" i="1"/>
  <c r="L29" i="1"/>
  <c r="AF28" i="1"/>
  <c r="AE28" i="1"/>
  <c r="AD28" i="1"/>
  <c r="AA28" i="1"/>
  <c r="X28" i="1"/>
  <c r="U28" i="1"/>
  <c r="R28" i="1"/>
  <c r="O28" i="1"/>
  <c r="L28" i="1"/>
  <c r="AF27" i="1"/>
  <c r="AE27" i="1"/>
  <c r="AD27" i="1"/>
  <c r="AA27" i="1"/>
  <c r="X27" i="1"/>
  <c r="U27" i="1"/>
  <c r="R27" i="1"/>
  <c r="O27" i="1"/>
  <c r="L27" i="1"/>
  <c r="AF26" i="1"/>
  <c r="AE26" i="1"/>
  <c r="AD26" i="1"/>
  <c r="AA26" i="1"/>
  <c r="X26" i="1"/>
  <c r="U26" i="1"/>
  <c r="R26" i="1"/>
  <c r="O26" i="1"/>
  <c r="L26" i="1"/>
  <c r="AF25" i="1"/>
  <c r="AE25" i="1"/>
  <c r="AD25" i="1"/>
  <c r="AA25" i="1"/>
  <c r="X25" i="1"/>
  <c r="U25" i="1"/>
  <c r="R25" i="1"/>
  <c r="O25" i="1"/>
  <c r="L25" i="1"/>
  <c r="AF24" i="1"/>
  <c r="AE24" i="1"/>
  <c r="AD24" i="1"/>
  <c r="AA24" i="1"/>
  <c r="X24" i="1"/>
  <c r="U24" i="1"/>
  <c r="R24" i="1"/>
  <c r="O24" i="1"/>
  <c r="L24" i="1"/>
  <c r="AF23" i="1"/>
  <c r="AE23" i="1"/>
  <c r="AD23" i="1"/>
  <c r="AA23" i="1"/>
  <c r="X23" i="1"/>
  <c r="U23" i="1"/>
  <c r="R23" i="1"/>
  <c r="O23" i="1"/>
  <c r="L23" i="1"/>
  <c r="AF22" i="1"/>
  <c r="AE22" i="1"/>
  <c r="AD22" i="1"/>
  <c r="AA22" i="1"/>
  <c r="X22" i="1"/>
  <c r="U22" i="1"/>
  <c r="R22" i="1"/>
  <c r="O22" i="1"/>
  <c r="L22" i="1"/>
  <c r="AF21" i="1"/>
  <c r="AE21" i="1"/>
  <c r="AD21" i="1"/>
  <c r="AA21" i="1"/>
  <c r="X21" i="1"/>
  <c r="U21" i="1"/>
  <c r="R21" i="1"/>
  <c r="O21" i="1"/>
  <c r="L21" i="1"/>
  <c r="AF20" i="1"/>
  <c r="AE20" i="1"/>
  <c r="AD20" i="1"/>
  <c r="AA20" i="1"/>
  <c r="X20" i="1"/>
  <c r="U20" i="1"/>
  <c r="R20" i="1"/>
  <c r="O20" i="1"/>
  <c r="L20" i="1"/>
  <c r="AF19" i="1"/>
  <c r="AE19" i="1"/>
  <c r="AD19" i="1"/>
  <c r="AA19" i="1"/>
  <c r="X19" i="1"/>
  <c r="U19" i="1"/>
  <c r="R19" i="1"/>
  <c r="O19" i="1"/>
  <c r="L19" i="1"/>
  <c r="AF18" i="1"/>
  <c r="AE18" i="1"/>
  <c r="AD18" i="1"/>
  <c r="AA18" i="1"/>
  <c r="X18" i="1"/>
  <c r="U18" i="1"/>
  <c r="R18" i="1"/>
  <c r="O18" i="1"/>
  <c r="L18" i="1"/>
  <c r="AF17" i="1"/>
  <c r="AE17" i="1"/>
  <c r="AD17" i="1"/>
  <c r="AA17" i="1"/>
  <c r="X17" i="1"/>
  <c r="U17" i="1"/>
  <c r="R17" i="1"/>
  <c r="O17" i="1"/>
  <c r="L17" i="1"/>
  <c r="AF16" i="1"/>
  <c r="AE16" i="1"/>
  <c r="AD16" i="1"/>
  <c r="AA16" i="1"/>
  <c r="X16" i="1"/>
  <c r="U16" i="1"/>
  <c r="R16" i="1"/>
  <c r="O16" i="1"/>
  <c r="L16" i="1"/>
  <c r="AF15" i="1"/>
  <c r="AE15" i="1"/>
  <c r="AD15" i="1"/>
  <c r="AA15" i="1"/>
  <c r="X15" i="1"/>
  <c r="U15" i="1"/>
  <c r="R15" i="1"/>
  <c r="O15" i="1"/>
  <c r="L15" i="1"/>
  <c r="AF14" i="1"/>
  <c r="AE14" i="1"/>
  <c r="AD14" i="1"/>
  <c r="AA14" i="1"/>
  <c r="X14" i="1"/>
  <c r="U14" i="1"/>
  <c r="R14" i="1"/>
  <c r="O14" i="1"/>
  <c r="L14" i="1"/>
  <c r="AF13" i="1"/>
  <c r="AE13" i="1"/>
  <c r="AD13" i="1"/>
  <c r="AA13" i="1"/>
  <c r="X13" i="1"/>
  <c r="U13" i="1"/>
  <c r="R13" i="1"/>
  <c r="O13" i="1"/>
  <c r="L13" i="1"/>
  <c r="AF12" i="1"/>
  <c r="AE12" i="1"/>
  <c r="AD12" i="1"/>
  <c r="AA12" i="1"/>
  <c r="X12" i="1"/>
  <c r="U12" i="1"/>
  <c r="R12" i="1"/>
  <c r="O12" i="1"/>
  <c r="L12" i="1"/>
  <c r="AF11" i="1"/>
  <c r="AE11" i="1"/>
  <c r="AD11" i="1"/>
  <c r="AA11" i="1"/>
  <c r="X11" i="1"/>
  <c r="U11" i="1"/>
  <c r="R11" i="1"/>
  <c r="O11" i="1"/>
  <c r="L11" i="1"/>
  <c r="AF10" i="1"/>
  <c r="AE10" i="1"/>
  <c r="AD10" i="1"/>
  <c r="AA10" i="1"/>
  <c r="X10" i="1"/>
  <c r="U10" i="1"/>
  <c r="R10" i="1"/>
  <c r="O10" i="1"/>
  <c r="L10" i="1"/>
  <c r="AF9" i="1"/>
  <c r="AE9" i="1"/>
  <c r="AD9" i="1"/>
  <c r="AA9" i="1"/>
  <c r="X9" i="1"/>
  <c r="U9" i="1"/>
  <c r="R9" i="1"/>
  <c r="O9" i="1"/>
  <c r="L9" i="1"/>
  <c r="AF8" i="1"/>
  <c r="AE8" i="1"/>
  <c r="AD8" i="1"/>
  <c r="AA8" i="1"/>
  <c r="X8" i="1"/>
  <c r="U8" i="1"/>
  <c r="R8" i="1"/>
  <c r="O8" i="1"/>
  <c r="L8" i="1"/>
  <c r="AF7" i="1"/>
  <c r="AE7" i="1"/>
  <c r="AD7" i="1"/>
  <c r="AA7" i="1"/>
  <c r="X7" i="1"/>
  <c r="U7" i="1"/>
  <c r="R7" i="1"/>
  <c r="O7" i="1"/>
  <c r="L7" i="1"/>
  <c r="AF6" i="1"/>
  <c r="AE6" i="1"/>
  <c r="AD6" i="1"/>
  <c r="L6" i="1"/>
  <c r="AF5" i="1"/>
  <c r="AE5" i="1"/>
  <c r="AD5" i="1"/>
  <c r="O5" i="1"/>
  <c r="L5" i="1"/>
  <c r="AF4" i="1"/>
  <c r="AE4" i="1"/>
  <c r="AD4" i="1"/>
  <c r="L4" i="1"/>
  <c r="AF3" i="1"/>
  <c r="AE3" i="1"/>
  <c r="AD3" i="1"/>
  <c r="AA3" i="1"/>
  <c r="X3" i="1"/>
  <c r="U3" i="1"/>
  <c r="R3" i="1"/>
  <c r="O3" i="1"/>
  <c r="L3" i="1"/>
  <c r="AG22" i="1" l="1"/>
  <c r="AG38" i="1"/>
  <c r="AG24" i="1"/>
  <c r="AG21" i="1"/>
  <c r="AG33" i="1"/>
  <c r="AG48" i="1"/>
  <c r="AG29" i="1"/>
  <c r="AG45" i="1"/>
  <c r="AG41" i="1"/>
  <c r="AG17" i="1"/>
  <c r="AG30" i="1"/>
  <c r="AG28" i="1"/>
  <c r="AG26" i="1"/>
  <c r="AG46" i="1"/>
  <c r="AG10" i="1"/>
  <c r="AG8" i="1"/>
  <c r="AG40" i="1"/>
  <c r="AG36" i="1"/>
  <c r="AG34" i="1"/>
  <c r="AG15" i="1"/>
  <c r="AG16" i="1"/>
  <c r="AG37" i="1"/>
  <c r="AG32" i="1"/>
  <c r="AG11" i="1"/>
  <c r="AG23" i="1"/>
  <c r="AG27" i="1"/>
  <c r="AG44" i="1"/>
  <c r="AG35" i="1"/>
  <c r="AG14" i="1"/>
  <c r="AG39" i="1"/>
  <c r="AG4" i="1"/>
  <c r="AG42" i="1"/>
  <c r="AA50" i="1"/>
  <c r="AG5" i="1"/>
  <c r="AG12" i="1"/>
  <c r="AG20" i="1"/>
  <c r="AD50" i="1"/>
  <c r="AG7" i="1"/>
  <c r="AE50" i="1"/>
  <c r="AG19" i="1"/>
  <c r="AF50" i="1"/>
  <c r="AG31" i="1"/>
  <c r="AG6" i="1"/>
  <c r="AG18" i="1"/>
  <c r="O50" i="1"/>
  <c r="AG9" i="1"/>
  <c r="AG13" i="1"/>
  <c r="AG43" i="1"/>
  <c r="AG49" i="1"/>
  <c r="R50" i="1"/>
  <c r="L50" i="1"/>
  <c r="AG25" i="1"/>
  <c r="AG47" i="1"/>
  <c r="U50" i="1"/>
  <c r="X50" i="1"/>
  <c r="AG3" i="1"/>
  <c r="AG50" i="1" l="1"/>
</calcChain>
</file>

<file path=xl/sharedStrings.xml><?xml version="1.0" encoding="utf-8"?>
<sst xmlns="http://schemas.openxmlformats.org/spreadsheetml/2006/main" count="393" uniqueCount="252">
  <si>
    <t>รายชื่อพนักงานประจำปี 2568</t>
  </si>
  <si>
    <t>ลำดับ</t>
  </si>
  <si>
    <t>รหัสพนักงาน</t>
  </si>
  <si>
    <t>ชื่อ - นามสกุล</t>
  </si>
  <si>
    <t>ชื่อเล่น</t>
  </si>
  <si>
    <t>แผนก</t>
  </si>
  <si>
    <t>ตำแหน่ง</t>
  </si>
  <si>
    <t>ระดับ</t>
  </si>
  <si>
    <t>เบี้ยขยัน 68</t>
  </si>
  <si>
    <t>เบี้ยขยัน 69</t>
  </si>
  <si>
    <t>เปลี่ยนแปลง</t>
  </si>
  <si>
    <t>ค่าชำนาญการ 68</t>
  </si>
  <si>
    <t>ค่าชำนาญการ 69</t>
  </si>
  <si>
    <t>ค่าตำแหน่ง 68</t>
  </si>
  <si>
    <t>ค่าตำแหน่ง 69</t>
  </si>
  <si>
    <t>ค่าโทรศัพท์ 68</t>
  </si>
  <si>
    <t>ค่าโทรศัพท์ 69</t>
  </si>
  <si>
    <t>ค่าสวัสดิการเดินทาง 68</t>
  </si>
  <si>
    <t>ค่าสวัสดิการเดินทาง 69</t>
  </si>
  <si>
    <t>ค่าสวัสดิการน้ำมัน 68</t>
  </si>
  <si>
    <t>ค่าสวัสดิการน้ำมัน 69</t>
  </si>
  <si>
    <t>ฐานเงินเดือนปี 68</t>
  </si>
  <si>
    <t>ฐานเงินเดือนปี 69</t>
  </si>
  <si>
    <t>รายได้รวมปี 68</t>
  </si>
  <si>
    <t>รายได้รวมปี 69</t>
  </si>
  <si>
    <t>หมายเหตุ</t>
  </si>
  <si>
    <t>660104</t>
  </si>
  <si>
    <t>นางสาวสาวิตรี สิงห์เหม้น</t>
  </si>
  <si>
    <t>ทราย</t>
  </si>
  <si>
    <t>บริษัท คินโนะสุเกะ กรุ๊ป จำกัด (สำนักงานใหญ่)</t>
  </si>
  <si>
    <t>Operation</t>
  </si>
  <si>
    <t>Core Team Supervisor- Level I</t>
  </si>
  <si>
    <t>Leader and Supervisor</t>
  </si>
  <si>
    <t>660201</t>
  </si>
  <si>
    <t>นางสาวธิติญา ปัญญายิ่ง</t>
  </si>
  <si>
    <t>อุ้ม</t>
  </si>
  <si>
    <t>บริษัท นิกิวาอิ กู๊ดส์ เวลท์ จำกัด (สำนักงานใหญ่)</t>
  </si>
  <si>
    <t>Marketing</t>
  </si>
  <si>
    <t>Graphic Designer - Lv III</t>
  </si>
  <si>
    <t>Officer</t>
  </si>
  <si>
    <t>660801</t>
  </si>
  <si>
    <t>นางสาวฐิติกานต์ รักเมือง</t>
  </si>
  <si>
    <t>หยก</t>
  </si>
  <si>
    <t>บริษัท นิกิวาอิ คอนสตรัคชั่น จำกัด (สำนักงานใหญ่)</t>
  </si>
  <si>
    <t>Graphic Designer - Lv I</t>
  </si>
  <si>
    <t>670601</t>
  </si>
  <si>
    <t>นางสาวรัตติกาล สกุลอินทร์</t>
  </si>
  <si>
    <t>โบ</t>
  </si>
  <si>
    <t>Sales</t>
  </si>
  <si>
    <t>Sales Executive</t>
  </si>
  <si>
    <t>630601</t>
  </si>
  <si>
    <t>นางสาวธนภรณ์ ผ่องประทุม</t>
  </si>
  <si>
    <t>เติ้ล</t>
  </si>
  <si>
    <t>บริษัท เอ็นจีดับบลิวซี จำกัด (สำนักงานใหญ่)</t>
  </si>
  <si>
    <t>บริษัท ทุเรียนนิสซึ่ม จำกัด (สำนักงานใหญ่)</t>
  </si>
  <si>
    <t>Art Supervisor</t>
  </si>
  <si>
    <t>650102</t>
  </si>
  <si>
    <t>นายวินัย หนองแพ</t>
  </si>
  <si>
    <t>บู๊</t>
  </si>
  <si>
    <t>Executive Chef - Lv.I</t>
  </si>
  <si>
    <t>650207</t>
  </si>
  <si>
    <t>นางสาวเสาวณี พันสุวรรณ์</t>
  </si>
  <si>
    <t>บี</t>
  </si>
  <si>
    <t>Core Team - Level II</t>
  </si>
  <si>
    <t>651101</t>
  </si>
  <si>
    <t>นางสาวณัฐชานันท์ ธนังชูศิลป์</t>
  </si>
  <si>
    <t>ชามุก</t>
  </si>
  <si>
    <t>บริษัท นิกิวาอิ กรุ๊ป จำกัด (สำนักงานใหญ่)</t>
  </si>
  <si>
    <t>Sales Manager (Acting)</t>
  </si>
  <si>
    <t>Manager</t>
  </si>
  <si>
    <t>1</t>
  </si>
  <si>
    <t>631202</t>
  </si>
  <si>
    <t>นางสาวสาริศา กมลอรรฆ</t>
  </si>
  <si>
    <t>น้ำ</t>
  </si>
  <si>
    <t>Executive</t>
  </si>
  <si>
    <t>Executive Assistant - Level III</t>
  </si>
  <si>
    <t>651003</t>
  </si>
  <si>
    <t>นางสาวกชชลจรรย์ สุทธิกิตติพงศ์</t>
  </si>
  <si>
    <t>เมย์</t>
  </si>
  <si>
    <t>Financial And Account</t>
  </si>
  <si>
    <t>General Leader</t>
  </si>
  <si>
    <t>3</t>
  </si>
  <si>
    <t>651201</t>
  </si>
  <si>
    <t>นางสาวกนกพิชญ์ พิบูลย์</t>
  </si>
  <si>
    <t>ออ</t>
  </si>
  <si>
    <t>Financial &amp; Account Manager</t>
  </si>
  <si>
    <t>640502</t>
  </si>
  <si>
    <t>นายณรุจ พลับศิริ</t>
  </si>
  <si>
    <t>โอ๊ต</t>
  </si>
  <si>
    <t>Senior Creative &amp; Content Marketing</t>
  </si>
  <si>
    <t>5</t>
  </si>
  <si>
    <t>650206</t>
  </si>
  <si>
    <t>นาย กฤษฎา จันทร์ฝา</t>
  </si>
  <si>
    <t>ภูมิ</t>
  </si>
  <si>
    <t>Human Resource</t>
  </si>
  <si>
    <t>Senior Human Resources Administrator</t>
  </si>
  <si>
    <t>Senior Officer</t>
  </si>
  <si>
    <t>650106</t>
  </si>
  <si>
    <t>นางสาวนัชชา ธนเกริกกวิน</t>
  </si>
  <si>
    <t>ป้อ</t>
  </si>
  <si>
    <t>After Sales - Level III</t>
  </si>
  <si>
    <t>Senior</t>
  </si>
  <si>
    <t>7</t>
  </si>
  <si>
    <t>650104</t>
  </si>
  <si>
    <t>นางสาวช้องนาง หินขาว</t>
  </si>
  <si>
    <t>หนูนา</t>
  </si>
  <si>
    <t>650903</t>
  </si>
  <si>
    <t>นายกันต์ศักย์ ปานมงคล</t>
  </si>
  <si>
    <t>อ้น</t>
  </si>
  <si>
    <t>Quality Control &amp; Audit Manager</t>
  </si>
  <si>
    <t>9</t>
  </si>
  <si>
    <t>660409</t>
  </si>
  <si>
    <t>นางสาว พานทอง รุ่งอนันต์กุลสิริ</t>
  </si>
  <si>
    <t>ปิงปิง</t>
  </si>
  <si>
    <t>Executive Assistant - Level I</t>
  </si>
  <si>
    <t>640601</t>
  </si>
  <si>
    <t>นายไกรเจต สมพงษ์</t>
  </si>
  <si>
    <t>คุณเจต</t>
  </si>
  <si>
    <t>CTO &amp; COO</t>
  </si>
  <si>
    <t>Chief and director</t>
  </si>
  <si>
    <t>ย้ายจากนิกิวาอิ คอนสครัคชั่น มีผล 1 กย.2568</t>
  </si>
  <si>
    <t>11</t>
  </si>
  <si>
    <t>641103</t>
  </si>
  <si>
    <t>นายญัตติพงศ์ พันธุ์ลิขิตอาภรณ์</t>
  </si>
  <si>
    <t>ไบร์ท</t>
  </si>
  <si>
    <t>Project Leader</t>
  </si>
  <si>
    <t>.ให้ค่า Project ตามเนื้องาน 5,000 - 10,000 บาท</t>
  </si>
  <si>
    <t>680801</t>
  </si>
  <si>
    <t>นางสาววัชรวีร์ ศุภเลิศธนศักดิ์</t>
  </si>
  <si>
    <t>เอ๋</t>
  </si>
  <si>
    <t>บริษัท เวียงเวียต ฟู้ด จำกัด (สำนักงานใหญ่)</t>
  </si>
  <si>
    <t>Human Resources Manager</t>
  </si>
  <si>
    <t>681101</t>
  </si>
  <si>
    <t>นายภัทรพล เดือนฉาย</t>
  </si>
  <si>
    <t>ฟัด</t>
  </si>
  <si>
    <t>Senior Recruite</t>
  </si>
  <si>
    <t>681002</t>
  </si>
  <si>
    <t>นางสาววิภาวี  เรืองจรูญ</t>
  </si>
  <si>
    <t>บิว</t>
  </si>
  <si>
    <t>Recruite Officer</t>
  </si>
  <si>
    <t>ผ่านโปรปรับเงินเดือนตามตกลง</t>
  </si>
  <si>
    <t>610601</t>
  </si>
  <si>
    <t>นายสุทธิพร ตั้งสกุลสันติ</t>
  </si>
  <si>
    <t>คุณใหม่</t>
  </si>
  <si>
    <t>President &amp; Group CEO</t>
  </si>
  <si>
    <t>670401</t>
  </si>
  <si>
    <t>นายพงศธร โชติยะศิลป์</t>
  </si>
  <si>
    <t>แบงค์</t>
  </si>
  <si>
    <t>Chief Financial Officer</t>
  </si>
  <si>
    <t>C Level</t>
  </si>
  <si>
    <t>จะมีการพิจารณาปรับขึ้นเมื่อสามารถ Funding ได้</t>
  </si>
  <si>
    <t>660101</t>
  </si>
  <si>
    <t>นางสาวกรวรรณ สุวรรณพรรค</t>
  </si>
  <si>
    <t>หมวย</t>
  </si>
  <si>
    <t>Accounts Payable</t>
  </si>
  <si>
    <t>660401</t>
  </si>
  <si>
    <t>นายพิชญา บัวบรรจง</t>
  </si>
  <si>
    <t>พีพี</t>
  </si>
  <si>
    <t>Information Technology</t>
  </si>
  <si>
    <t>IT Specialist</t>
  </si>
  <si>
    <t>660702</t>
  </si>
  <si>
    <t>นายกรกช บรรพจน์พิทักษ์</t>
  </si>
  <si>
    <t>กาย</t>
  </si>
  <si>
    <t>Video Creator</t>
  </si>
  <si>
    <t>610701</t>
  </si>
  <si>
    <t>นางสาวอรอริยา สุดสุข</t>
  </si>
  <si>
    <t>ออน</t>
  </si>
  <si>
    <t>ART Operation- Lv.II</t>
  </si>
  <si>
    <t>650208</t>
  </si>
  <si>
    <t>นายขวัญวิชัย ไกรงาม</t>
  </si>
  <si>
    <t>ชัย</t>
  </si>
  <si>
    <t>Head Chef - Level II</t>
  </si>
  <si>
    <t>660504</t>
  </si>
  <si>
    <t>นางสาวภัรตรา เพ็ญภู่</t>
  </si>
  <si>
    <t>มะปราง</t>
  </si>
  <si>
    <t>After Sales - Level II</t>
  </si>
  <si>
    <t>640202</t>
  </si>
  <si>
    <t>นางสาวคณิตตา จำเริญพงษ์</t>
  </si>
  <si>
    <t>ฝน</t>
  </si>
  <si>
    <t>Warehouse &amp; Logistics</t>
  </si>
  <si>
    <t>ART Supply Chain - Level III</t>
  </si>
  <si>
    <t>680901</t>
  </si>
  <si>
    <t>นายณัฐกิจ ต้นโต</t>
  </si>
  <si>
    <t>ที</t>
  </si>
  <si>
    <t>พนักงานขนส่ง</t>
  </si>
  <si>
    <t>681001</t>
  </si>
  <si>
    <t>นางสาวพรวิไล มีชัย</t>
  </si>
  <si>
    <t>Admin Purchasing</t>
  </si>
  <si>
    <t>610602</t>
  </si>
  <si>
    <t>นายวรันธร แดงใหญ่</t>
  </si>
  <si>
    <t>คุณเก้ง</t>
  </si>
  <si>
    <t>CEO</t>
  </si>
  <si>
    <t>ย้ายมาจาก นิกิวาอิ กรุ๊ป มีผล 1 กย.2568</t>
  </si>
  <si>
    <t>641105</t>
  </si>
  <si>
    <t>นาย อรรถสิทธิ์ สุปัดคำ</t>
  </si>
  <si>
    <t>เก้</t>
  </si>
  <si>
    <t>Construction</t>
  </si>
  <si>
    <t>Project Coordinator - Level I</t>
  </si>
  <si>
    <t>660804</t>
  </si>
  <si>
    <t>นายจิติวัฒน์ อุปวรรณะ</t>
  </si>
  <si>
    <t>นิว</t>
  </si>
  <si>
    <t>Interior Designer</t>
  </si>
  <si>
    <t>671002</t>
  </si>
  <si>
    <t>นายนิรันดร์ ดวงสุวรรณ</t>
  </si>
  <si>
    <t>อาร์ท</t>
  </si>
  <si>
    <t>Construction Director</t>
  </si>
  <si>
    <t>671101</t>
  </si>
  <si>
    <t>นางสาวนุชนารถ แตงอ่อน</t>
  </si>
  <si>
    <t>ถุงแป้ง</t>
  </si>
  <si>
    <t>670202</t>
  </si>
  <si>
    <t>นางสาวกัลยรักษ์ ตระกูลอินทร์</t>
  </si>
  <si>
    <t>กุ้ง</t>
  </si>
  <si>
    <t>Senior Accounting Officer</t>
  </si>
  <si>
    <t>650702</t>
  </si>
  <si>
    <t>นางสาว อรนิดา แพสถิตถาวร</t>
  </si>
  <si>
    <t>กุ๊ก</t>
  </si>
  <si>
    <t>House Keeper</t>
  </si>
  <si>
    <t>670201</t>
  </si>
  <si>
    <t>นายศักดิ์จรินทร์ ดวงฤทัย</t>
  </si>
  <si>
    <t>เคน</t>
  </si>
  <si>
    <t>IT Support</t>
  </si>
  <si>
    <t>631204</t>
  </si>
  <si>
    <t>นายพงศธร อภัยนุกูล</t>
  </si>
  <si>
    <t>บลู</t>
  </si>
  <si>
    <t>Video Production Supervisor</t>
  </si>
  <si>
    <t>999901</t>
  </si>
  <si>
    <t>นายสุวคนธ์ อินทร์ประคอง</t>
  </si>
  <si>
    <t>หมู</t>
  </si>
  <si>
    <t>Degital Marketing Consultant</t>
  </si>
  <si>
    <t>Consultant</t>
  </si>
  <si>
    <t>เพิ่ม Function งาน Event และงาน Audit</t>
  </si>
  <si>
    <t>641001</t>
  </si>
  <si>
    <t>นายวีระพจน์ สังเกตุ</t>
  </si>
  <si>
    <t>พจน์</t>
  </si>
  <si>
    <t>Driver &amp;Technician</t>
  </si>
  <si>
    <t>660503</t>
  </si>
  <si>
    <t>นายภูรินทร์ บุญวรรณ</t>
  </si>
  <si>
    <t>ก้อนเมฆ</t>
  </si>
  <si>
    <t>บริษัท ยู คูซีน จำกัด (สำนักงานใหญ่)</t>
  </si>
  <si>
    <t>Accounts Receivable</t>
  </si>
  <si>
    <t xml:space="preserve">รอดูผลงานและปรับเงินอีกครั้ง </t>
  </si>
  <si>
    <t>AS670308</t>
  </si>
  <si>
    <t>นางสาวมณีรัตน์ ธงทอง</t>
  </si>
  <si>
    <t>ผึ้ง</t>
  </si>
  <si>
    <t>Production Staff</t>
  </si>
  <si>
    <t>VV660302</t>
  </si>
  <si>
    <t>นางสาวศิริวรรณ กำรัตน์</t>
  </si>
  <si>
    <t>Chef</t>
  </si>
  <si>
    <t xml:space="preserve"> Total    H/C</t>
  </si>
  <si>
    <t>c</t>
  </si>
  <si>
    <t>บริษัทเดิม</t>
  </si>
  <si>
    <t>บริษัทใหม่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</si>
</sst>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####_ ;[Red]\-#,##0.00####\ "/>
    <numFmt numFmtId="166" formatCode="#,##0.00_ ;[Red]\-#,##0.00\ "/>
    <numFmt numFmtId="167" formatCode="#,##0.00;[Red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0B05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FEBE"/>
        <bgColor indexed="64"/>
      </patternFill>
    </fill>
    <fill>
      <patternFill patternType="solid">
        <fgColor theme="9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FF3300"/>
      </bottom>
      <diagonal/>
    </border>
    <border>
      <left style="thin">
        <color indexed="64"/>
      </left>
      <right style="thin">
        <color indexed="64"/>
      </right>
      <top/>
      <bottom style="medium">
        <color rgb="FFFF33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rgb="FFFF33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313">
    <xf numFmtId="0" fontId="0" fillId="0" borderId="0" xfId="0"/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/>
    <xf numFmtId="4" fontId="5" fillId="0" borderId="0" xfId="0" applyNumberFormat="1" applyFont="1" applyAlignment="1">
      <alignment horizont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3" fontId="7" fillId="4" borderId="2" xfId="2" applyNumberFormat="1" applyFont="1" applyFill="1" applyBorder="1" applyAlignment="1">
      <alignment horizontal="center" vertical="center" wrapText="1"/>
    </xf>
    <xf numFmtId="3" fontId="7" fillId="5" borderId="2" xfId="2" applyNumberFormat="1" applyFont="1" applyFill="1" applyBorder="1" applyAlignment="1">
      <alignment horizontal="center" vertical="center" wrapText="1"/>
    </xf>
    <xf numFmtId="3" fontId="7" fillId="6" borderId="2" xfId="2" applyNumberFormat="1" applyFont="1" applyFill="1" applyBorder="1" applyAlignment="1">
      <alignment horizontal="center" vertical="center" wrapText="1"/>
    </xf>
    <xf numFmtId="3" fontId="7" fillId="7" borderId="2" xfId="2" applyNumberFormat="1" applyFont="1" applyFill="1" applyBorder="1" applyAlignment="1">
      <alignment horizontal="center" vertical="center" wrapText="1"/>
    </xf>
    <xf numFmtId="4" fontId="7" fillId="7" borderId="2" xfId="1" applyNumberFormat="1" applyFont="1" applyFill="1" applyBorder="1" applyAlignment="1">
      <alignment horizontal="center" vertical="center" wrapText="1"/>
    </xf>
    <xf numFmtId="4" fontId="2" fillId="7" borderId="2" xfId="1" applyNumberFormat="1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quotePrefix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5" fontId="9" fillId="0" borderId="5" xfId="1" applyNumberFormat="1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8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6" xfId="0" quotePrefix="1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165" fontId="9" fillId="0" borderId="6" xfId="1" applyNumberFormat="1" applyFont="1" applyBorder="1" applyAlignment="1">
      <alignment horizontal="center" vertical="center"/>
    </xf>
    <xf numFmtId="4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11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2" fillId="0" borderId="6" xfId="0" quotePrefix="1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center" vertical="center"/>
    </xf>
    <xf numFmtId="165" fontId="12" fillId="0" borderId="6" xfId="1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4" fontId="12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quotePrefix="1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4" fontId="9" fillId="0" borderId="12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166" fontId="9" fillId="0" borderId="6" xfId="1" applyNumberFormat="1" applyFont="1" applyBorder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4" fontId="12" fillId="0" borderId="16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4" fillId="0" borderId="6" xfId="0" applyFont="1" applyBorder="1" applyAlignment="1">
      <alignment horizontal="left" vertical="center"/>
    </xf>
    <xf numFmtId="4" fontId="12" fillId="0" borderId="5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4" fillId="0" borderId="13" xfId="0" quotePrefix="1" applyFont="1" applyBorder="1" applyAlignment="1">
      <alignment horizontal="left" vertical="center"/>
    </xf>
    <xf numFmtId="165" fontId="9" fillId="0" borderId="13" xfId="1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12" fillId="0" borderId="5" xfId="1" applyNumberFormat="1" applyFont="1" applyBorder="1" applyAlignment="1">
      <alignment horizontal="center" vertical="center"/>
    </xf>
    <xf numFmtId="165" fontId="12" fillId="0" borderId="13" xfId="1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3" xfId="0" quotePrefix="1" applyFont="1" applyBorder="1" applyAlignment="1">
      <alignment horizontal="left" vertical="center"/>
    </xf>
    <xf numFmtId="4" fontId="9" fillId="0" borderId="23" xfId="0" applyNumberFormat="1" applyFont="1" applyBorder="1" applyAlignment="1">
      <alignment horizontal="center" vertical="center"/>
    </xf>
    <xf numFmtId="165" fontId="9" fillId="0" borderId="24" xfId="1" applyNumberFormat="1" applyFont="1" applyBorder="1" applyAlignment="1">
      <alignment horizontal="center" vertical="center"/>
    </xf>
    <xf numFmtId="165" fontId="9" fillId="0" borderId="23" xfId="1" applyNumberFormat="1" applyFont="1" applyBorder="1" applyAlignment="1">
      <alignment horizontal="center" vertical="center"/>
    </xf>
    <xf numFmtId="165" fontId="9" fillId="0" borderId="25" xfId="1" applyNumberFormat="1" applyFont="1" applyBorder="1" applyAlignment="1">
      <alignment horizontal="center" vertical="center"/>
    </xf>
    <xf numFmtId="4" fontId="4" fillId="0" borderId="23" xfId="0" applyNumberFormat="1" applyFont="1" applyBorder="1" applyAlignment="1">
      <alignment horizontal="center" vertical="center"/>
    </xf>
    <xf numFmtId="4" fontId="9" fillId="0" borderId="26" xfId="0" applyNumberFormat="1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vertical="center"/>
    </xf>
    <xf numFmtId="0" fontId="4" fillId="0" borderId="29" xfId="0" quotePrefix="1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4" fontId="4" fillId="0" borderId="29" xfId="0" applyNumberFormat="1" applyFont="1" applyBorder="1" applyAlignment="1">
      <alignment horizontal="center" vertical="center"/>
    </xf>
    <xf numFmtId="4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9" fillId="0" borderId="3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2" fillId="0" borderId="29" xfId="0" quotePrefix="1" applyFont="1" applyBorder="1" applyAlignment="1">
      <alignment horizontal="left" vertical="center"/>
    </xf>
    <xf numFmtId="165" fontId="12" fillId="0" borderId="29" xfId="1" applyNumberFormat="1" applyFont="1" applyBorder="1" applyAlignment="1">
      <alignment horizontal="center" vertical="center"/>
    </xf>
    <xf numFmtId="4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29" xfId="0" quotePrefix="1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4" fontId="4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9" fontId="12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2" fillId="0" borderId="36" xfId="0" applyFont="1" applyBorder="1" applyAlignment="1">
      <alignment horizontal="center" vertical="center"/>
    </xf>
    <xf numFmtId="4" fontId="12" fillId="0" borderId="28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" fontId="9" fillId="0" borderId="37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9" fontId="9" fillId="0" borderId="38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49" fontId="9" fillId="0" borderId="4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4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41" xfId="0" quotePrefix="1" applyFont="1" applyBorder="1" applyAlignment="1">
      <alignment horizontal="left" vertical="center"/>
    </xf>
    <xf numFmtId="165" fontId="9" fillId="0" borderId="41" xfId="1" applyNumberFormat="1" applyFont="1" applyBorder="1" applyAlignment="1">
      <alignment horizontal="center" vertical="center"/>
    </xf>
    <xf numFmtId="165" fontId="9" fillId="0" borderId="42" xfId="1" applyNumberFormat="1" applyFont="1" applyBorder="1" applyAlignment="1">
      <alignment horizontal="center" vertical="center"/>
    </xf>
    <xf numFmtId="4" fontId="4" fillId="0" borderId="41" xfId="0" applyNumberFormat="1" applyFont="1" applyBorder="1" applyAlignment="1">
      <alignment horizontal="center" vertical="center"/>
    </xf>
    <xf numFmtId="4" fontId="9" fillId="0" borderId="43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165" fontId="9" fillId="0" borderId="15" xfId="1" applyNumberFormat="1" applyFont="1" applyBorder="1" applyAlignment="1">
      <alignment horizontal="center" vertical="center"/>
    </xf>
    <xf numFmtId="165" fontId="9" fillId="0" borderId="48" xfId="1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2" fillId="0" borderId="3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" fontId="15" fillId="0" borderId="6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165" fontId="10" fillId="0" borderId="6" xfId="1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0" fillId="0" borderId="50" xfId="0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8" borderId="39" xfId="0" applyFont="1" applyFill="1" applyBorder="1" applyAlignment="1">
      <alignment vertical="center"/>
    </xf>
    <xf numFmtId="0" fontId="10" fillId="0" borderId="5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165" fontId="12" fillId="0" borderId="15" xfId="1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left" vertical="center"/>
    </xf>
    <xf numFmtId="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21" xfId="0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7" fillId="0" borderId="6" xfId="0" quotePrefix="1" applyFont="1" applyBorder="1" applyAlignment="1">
      <alignment horizontal="left" vertical="center"/>
    </xf>
    <xf numFmtId="4" fontId="17" fillId="0" borderId="6" xfId="0" applyNumberFormat="1" applyFont="1" applyBorder="1" applyAlignment="1">
      <alignment horizontal="center" vertical="center"/>
    </xf>
    <xf numFmtId="165" fontId="17" fillId="0" borderId="6" xfId="1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" fontId="9" fillId="9" borderId="6" xfId="0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8" borderId="0" xfId="0" applyFont="1" applyFill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0" fillId="0" borderId="53" xfId="0" applyBorder="1" applyAlignment="1">
      <alignment vertical="center"/>
    </xf>
    <xf numFmtId="49" fontId="12" fillId="0" borderId="6" xfId="1" applyNumberFormat="1" applyFont="1" applyBorder="1" applyAlignment="1">
      <alignment horizontal="center" vertical="center"/>
    </xf>
    <xf numFmtId="167" fontId="12" fillId="0" borderId="6" xfId="1" applyNumberFormat="1" applyFont="1" applyBorder="1" applyAlignment="1">
      <alignment vertical="center"/>
    </xf>
    <xf numFmtId="164" fontId="12" fillId="0" borderId="6" xfId="1" applyFont="1" applyBorder="1"/>
    <xf numFmtId="0" fontId="12" fillId="0" borderId="54" xfId="0" applyFont="1" applyBorder="1" applyAlignment="1">
      <alignment horizontal="center" vertical="center"/>
    </xf>
    <xf numFmtId="49" fontId="12" fillId="0" borderId="55" xfId="1" applyNumberFormat="1" applyFont="1" applyBorder="1" applyAlignment="1">
      <alignment horizontal="center" vertical="center"/>
    </xf>
    <xf numFmtId="167" fontId="12" fillId="0" borderId="55" xfId="1" applyNumberFormat="1" applyFont="1" applyBorder="1" applyAlignment="1">
      <alignment vertical="center"/>
    </xf>
    <xf numFmtId="0" fontId="1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12" fillId="0" borderId="55" xfId="0" quotePrefix="1" applyFont="1" applyBorder="1" applyAlignment="1">
      <alignment horizontal="left" vertical="center"/>
    </xf>
    <xf numFmtId="0" fontId="12" fillId="0" borderId="55" xfId="0" applyFont="1" applyBorder="1" applyAlignment="1">
      <alignment horizontal="left" vertical="center"/>
    </xf>
    <xf numFmtId="0" fontId="4" fillId="0" borderId="55" xfId="0" applyFont="1" applyBorder="1" applyAlignment="1">
      <alignment horizontal="left" vertical="center"/>
    </xf>
    <xf numFmtId="165" fontId="12" fillId="0" borderId="55" xfId="1" applyNumberFormat="1" applyFont="1" applyBorder="1" applyAlignment="1">
      <alignment horizontal="center" vertical="center"/>
    </xf>
    <xf numFmtId="4" fontId="12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0" fillId="0" borderId="57" xfId="0" applyBorder="1" applyAlignment="1">
      <alignment vertical="center"/>
    </xf>
    <xf numFmtId="49" fontId="9" fillId="0" borderId="58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vertical="center"/>
    </xf>
    <xf numFmtId="0" fontId="3" fillId="0" borderId="58" xfId="0" applyFont="1" applyBorder="1" applyAlignment="1">
      <alignment horizontal="center" vertical="center"/>
    </xf>
    <xf numFmtId="0" fontId="6" fillId="10" borderId="58" xfId="0" applyFont="1" applyFill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4" fillId="0" borderId="58" xfId="0" applyFont="1" applyBorder="1" applyAlignment="1">
      <alignment horizontal="center" vertical="center"/>
    </xf>
    <xf numFmtId="4" fontId="18" fillId="11" borderId="58" xfId="0" applyNumberFormat="1" applyFont="1" applyFill="1" applyBorder="1" applyAlignment="1">
      <alignment horizontal="center" vertical="center"/>
    </xf>
    <xf numFmtId="4" fontId="18" fillId="4" borderId="58" xfId="0" applyNumberFormat="1" applyFont="1" applyFill="1" applyBorder="1" applyAlignment="1">
      <alignment horizontal="center" vertical="center"/>
    </xf>
    <xf numFmtId="4" fontId="18" fillId="12" borderId="58" xfId="0" applyNumberFormat="1" applyFont="1" applyFill="1" applyBorder="1" applyAlignment="1">
      <alignment horizontal="center" vertical="center"/>
    </xf>
    <xf numFmtId="4" fontId="18" fillId="12" borderId="59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64" fontId="1" fillId="0" borderId="0" xfId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4" fontId="5" fillId="0" borderId="0" xfId="0" applyNumberFormat="1" applyFont="1"/>
    <xf numFmtId="49" fontId="2" fillId="0" borderId="0" xfId="0" applyNumberFormat="1" applyFont="1"/>
    <xf numFmtId="0" fontId="16" fillId="0" borderId="0" xfId="0" applyFont="1"/>
    <xf numFmtId="49" fontId="5" fillId="0" borderId="0" xfId="0" applyNumberFormat="1" applyFont="1"/>
    <xf numFmtId="49" fontId="5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9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165" fontId="10" fillId="0" borderId="13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6" fontId="10" fillId="0" borderId="5" xfId="1" applyNumberFormat="1" applyFont="1" applyBorder="1" applyAlignment="1">
      <alignment horizontal="center" vertical="center"/>
    </xf>
    <xf numFmtId="165" fontId="10" fillId="0" borderId="5" xfId="1" applyNumberFormat="1" applyFont="1" applyBorder="1" applyAlignment="1">
      <alignment horizontal="center" vertical="center"/>
    </xf>
    <xf numFmtId="4" fontId="10" fillId="0" borderId="1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165" fontId="12" fillId="0" borderId="23" xfId="1" applyNumberFormat="1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6" xfId="0" quotePrefix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5" fontId="15" fillId="0" borderId="6" xfId="1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4" fontId="15" fillId="0" borderId="15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0" fillId="0" borderId="15" xfId="0" applyFont="1" applyBorder="1" applyAlignment="1">
      <alignment horizontal="center" vertical="center"/>
    </xf>
    <xf numFmtId="4" fontId="10" fillId="0" borderId="15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8" borderId="39" xfId="0" applyFont="1" applyFill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left" vertical="center"/>
    </xf>
    <xf numFmtId="165" fontId="10" fillId="0" borderId="16" xfId="1" applyNumberFormat="1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vertical="center"/>
    </xf>
    <xf numFmtId="4" fontId="12" fillId="0" borderId="29" xfId="0" applyNumberFormat="1" applyFont="1" applyBorder="1" applyAlignment="1">
      <alignment horizontal="center" vertical="center"/>
    </xf>
    <xf numFmtId="4" fontId="9" fillId="0" borderId="4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06A97F7F-1AB1-4B33-932D-E902E71A0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0CC7-50C2-461A-9C22-41B0EFADC9C7}">
  <sheetPr filterMode="1"/>
  <dimension ref="A1:CL74"/>
  <sheetViews>
    <sheetView tabSelected="1" zoomScaleNormal="100" workbookViewId="0">
      <selection activeCell="AB54" sqref="AB54"/>
    </sheetView>
  </sheetViews>
  <sheetFormatPr defaultColWidth="9.140625" defaultRowHeight="18.600000000000001" customHeight="1" x14ac:dyDescent="0.25"/>
  <cols>
    <col min="1" max="1" width="9.140625" style="3"/>
    <col min="2" max="2" width="9.42578125" style="2" customWidth="1"/>
    <col min="3" max="3" width="28.28515625" style="3" customWidth="1"/>
    <col min="4" max="4" width="10.7109375" style="254" customWidth="1"/>
    <col min="5" max="5" width="37.7109375" style="255" bestFit="1" customWidth="1"/>
    <col min="6" max="6" width="42.140625" style="3" customWidth="1"/>
    <col min="7" max="7" width="19.5703125" style="259" hidden="1" customWidth="1"/>
    <col min="8" max="8" width="32.28515625" style="256" hidden="1" customWidth="1"/>
    <col min="9" max="9" width="23" style="1" hidden="1" customWidth="1"/>
    <col min="10" max="10" width="11.7109375" style="1" hidden="1" customWidth="1"/>
    <col min="11" max="12" width="10.85546875" style="2" hidden="1" customWidth="1"/>
    <col min="13" max="13" width="13.85546875" style="2" hidden="1" customWidth="1"/>
    <col min="14" max="14" width="13.28515625" style="3" hidden="1" customWidth="1"/>
    <col min="15" max="18" width="10.85546875" style="3" hidden="1" customWidth="1"/>
    <col min="19" max="19" width="13.28515625" style="3" hidden="1" customWidth="1"/>
    <col min="20" max="22" width="12.42578125" style="3" hidden="1" customWidth="1"/>
    <col min="23" max="25" width="10.85546875" style="3" hidden="1" customWidth="1"/>
    <col min="26" max="27" width="10.85546875" style="3" customWidth="1"/>
    <col min="28" max="28" width="15.85546875" style="3" customWidth="1"/>
    <col min="29" max="31" width="16.140625" style="4" customWidth="1"/>
    <col min="32" max="33" width="15.42578125" style="3" customWidth="1"/>
    <col min="34" max="34" width="44.140625" style="3" customWidth="1"/>
    <col min="35" max="42" width="0" hidden="1" customWidth="1"/>
    <col min="43" max="16384" width="9.140625" style="3"/>
  </cols>
  <sheetData>
    <row r="1" spans="1:90" ht="18.600000000000001" customHeight="1" thickBot="1" x14ac:dyDescent="0.3">
      <c r="A1" s="311" t="s">
        <v>0</v>
      </c>
      <c r="B1" s="311"/>
      <c r="C1" s="311"/>
      <c r="D1" s="311"/>
      <c r="E1" s="312"/>
      <c r="F1" s="311"/>
      <c r="G1" s="311"/>
      <c r="H1" s="311"/>
    </row>
    <row r="2" spans="1:90" s="17" customFormat="1" ht="18.600000000000001" customHeight="1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251</v>
      </c>
      <c r="F2" s="6" t="s">
        <v>250</v>
      </c>
      <c r="G2" s="7" t="s">
        <v>5</v>
      </c>
      <c r="H2" s="7" t="s">
        <v>6</v>
      </c>
      <c r="I2" s="8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2" t="s">
        <v>12</v>
      </c>
      <c r="O2" s="11" t="s">
        <v>10</v>
      </c>
      <c r="P2" s="12" t="s">
        <v>13</v>
      </c>
      <c r="Q2" s="12" t="s">
        <v>14</v>
      </c>
      <c r="R2" s="11" t="s">
        <v>10</v>
      </c>
      <c r="S2" s="12" t="s">
        <v>15</v>
      </c>
      <c r="T2" s="12" t="s">
        <v>16</v>
      </c>
      <c r="U2" s="11" t="s">
        <v>10</v>
      </c>
      <c r="V2" s="12" t="s">
        <v>17</v>
      </c>
      <c r="W2" s="12" t="s">
        <v>18</v>
      </c>
      <c r="X2" s="11" t="s">
        <v>10</v>
      </c>
      <c r="Y2" s="12" t="s">
        <v>19</v>
      </c>
      <c r="Z2" s="12" t="s">
        <v>20</v>
      </c>
      <c r="AA2" s="11" t="s">
        <v>10</v>
      </c>
      <c r="AB2" s="13" t="s">
        <v>21</v>
      </c>
      <c r="AC2" s="13" t="s">
        <v>22</v>
      </c>
      <c r="AD2" s="11" t="s">
        <v>10</v>
      </c>
      <c r="AE2" s="14" t="s">
        <v>23</v>
      </c>
      <c r="AF2" s="14" t="s">
        <v>24</v>
      </c>
      <c r="AG2" s="11" t="s">
        <v>10</v>
      </c>
      <c r="AH2" s="15" t="s">
        <v>25</v>
      </c>
      <c r="AI2" s="16"/>
      <c r="AJ2" s="16"/>
      <c r="AK2" s="16"/>
      <c r="AL2" s="16"/>
      <c r="AM2" s="16"/>
      <c r="AN2" s="16"/>
      <c r="AO2" s="16"/>
      <c r="AP2" s="16"/>
    </row>
    <row r="3" spans="1:90" s="29" customFormat="1" ht="18.600000000000001" hidden="1" customHeight="1" x14ac:dyDescent="0.3">
      <c r="A3" s="18">
        <v>1</v>
      </c>
      <c r="B3" s="19" t="s">
        <v>26</v>
      </c>
      <c r="C3" s="20" t="s">
        <v>27</v>
      </c>
      <c r="D3" s="21" t="s">
        <v>28</v>
      </c>
      <c r="E3" s="21"/>
      <c r="F3" s="22" t="s">
        <v>29</v>
      </c>
      <c r="G3" s="23" t="s">
        <v>30</v>
      </c>
      <c r="H3" s="23" t="s">
        <v>31</v>
      </c>
      <c r="I3" s="24" t="s">
        <v>32</v>
      </c>
      <c r="J3" s="24"/>
      <c r="K3" s="21"/>
      <c r="L3" s="25">
        <f>J3-K3</f>
        <v>0</v>
      </c>
      <c r="M3" s="25">
        <v>2000</v>
      </c>
      <c r="N3" s="25">
        <v>2000</v>
      </c>
      <c r="O3" s="25">
        <f>M3-N3</f>
        <v>0</v>
      </c>
      <c r="P3" s="25">
        <v>2000</v>
      </c>
      <c r="Q3" s="25">
        <v>2000</v>
      </c>
      <c r="R3" s="25">
        <f>P3-Q3</f>
        <v>0</v>
      </c>
      <c r="S3" s="25"/>
      <c r="T3" s="21"/>
      <c r="U3" s="25">
        <f>S3-T3</f>
        <v>0</v>
      </c>
      <c r="V3" s="21"/>
      <c r="W3" s="21"/>
      <c r="X3" s="25">
        <f>V3-W3</f>
        <v>0</v>
      </c>
      <c r="Y3" s="21"/>
      <c r="Z3" s="21"/>
      <c r="AA3" s="25">
        <f>Y3-Z3</f>
        <v>0</v>
      </c>
      <c r="AB3" s="26">
        <v>21000</v>
      </c>
      <c r="AC3" s="26">
        <v>21000</v>
      </c>
      <c r="AD3" s="26">
        <f>AC3-AB3</f>
        <v>0</v>
      </c>
      <c r="AE3" s="26">
        <f>SUM(J3,M3,P3,S3,V3,Y3)+AB3</f>
        <v>25000</v>
      </c>
      <c r="AF3" s="26">
        <f>SUM(K3,N3,Q3,T3,W3,Z3)+AC3</f>
        <v>25000</v>
      </c>
      <c r="AG3" s="27">
        <f>AF3-AE3</f>
        <v>0</v>
      </c>
      <c r="AH3" s="28"/>
    </row>
    <row r="4" spans="1:90" s="46" customFormat="1" ht="18.600000000000001" hidden="1" customHeight="1" x14ac:dyDescent="0.3">
      <c r="A4" s="30">
        <v>2</v>
      </c>
      <c r="B4" s="31" t="s">
        <v>33</v>
      </c>
      <c r="C4" s="33" t="s">
        <v>34</v>
      </c>
      <c r="D4" s="34" t="s">
        <v>35</v>
      </c>
      <c r="E4" s="35" t="s">
        <v>36</v>
      </c>
      <c r="F4" s="22" t="s">
        <v>29</v>
      </c>
      <c r="G4" s="36" t="s">
        <v>37</v>
      </c>
      <c r="H4" s="37" t="s">
        <v>38</v>
      </c>
      <c r="I4" s="38" t="s">
        <v>39</v>
      </c>
      <c r="J4" s="38"/>
      <c r="K4" s="34"/>
      <c r="L4" s="39">
        <f t="shared" ref="L4:L47" si="0">J4-K4</f>
        <v>0</v>
      </c>
      <c r="M4" s="34"/>
      <c r="N4" s="33"/>
      <c r="O4" s="33"/>
      <c r="P4" s="33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27">
        <v>23690</v>
      </c>
      <c r="AC4" s="40">
        <v>23690</v>
      </c>
      <c r="AD4" s="26">
        <f t="shared" ref="AD4:AD6" si="1">AC4-AB4</f>
        <v>0</v>
      </c>
      <c r="AE4" s="26">
        <f t="shared" ref="AE4:AF6" si="2">SUM(J4,M4,P4,S4,V4,Y4)+AB4</f>
        <v>23690</v>
      </c>
      <c r="AF4" s="26">
        <f t="shared" si="2"/>
        <v>23690</v>
      </c>
      <c r="AG4" s="27">
        <f t="shared" ref="AG4:AG6" si="3">AF4-AE4</f>
        <v>0</v>
      </c>
      <c r="AH4" s="41"/>
      <c r="AI4" s="42"/>
      <c r="AJ4" s="43"/>
      <c r="AK4" s="44"/>
      <c r="AL4" s="44"/>
      <c r="AM4" s="44"/>
      <c r="AN4" s="44"/>
      <c r="AO4" s="44"/>
      <c r="AP4" s="44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</row>
    <row r="5" spans="1:90" s="58" customFormat="1" ht="18.600000000000001" hidden="1" customHeight="1" x14ac:dyDescent="0.3">
      <c r="A5" s="47">
        <v>3</v>
      </c>
      <c r="B5" s="48" t="s">
        <v>40</v>
      </c>
      <c r="C5" s="49" t="s">
        <v>41</v>
      </c>
      <c r="D5" s="50" t="s">
        <v>42</v>
      </c>
      <c r="E5" s="33" t="s">
        <v>43</v>
      </c>
      <c r="F5" s="49" t="s">
        <v>29</v>
      </c>
      <c r="G5" s="52" t="s">
        <v>37</v>
      </c>
      <c r="H5" s="53" t="s">
        <v>44</v>
      </c>
      <c r="I5" s="52" t="s">
        <v>39</v>
      </c>
      <c r="J5" s="52"/>
      <c r="K5" s="50"/>
      <c r="L5" s="55">
        <f t="shared" si="0"/>
        <v>0</v>
      </c>
      <c r="M5" s="50">
        <v>500</v>
      </c>
      <c r="N5" s="55">
        <v>1000</v>
      </c>
      <c r="O5" s="55">
        <f>N5-M5</f>
        <v>500</v>
      </c>
      <c r="P5" s="55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6">
        <v>15500</v>
      </c>
      <c r="AC5" s="56">
        <v>15500</v>
      </c>
      <c r="AD5" s="79">
        <f t="shared" si="1"/>
        <v>0</v>
      </c>
      <c r="AE5" s="79">
        <f t="shared" si="2"/>
        <v>16000</v>
      </c>
      <c r="AF5" s="79">
        <f t="shared" si="2"/>
        <v>16500</v>
      </c>
      <c r="AG5" s="56">
        <f t="shared" si="3"/>
        <v>500</v>
      </c>
      <c r="AH5" s="57"/>
      <c r="AI5" s="263"/>
      <c r="AJ5" s="264"/>
    </row>
    <row r="6" spans="1:90" s="29" customFormat="1" ht="18.600000000000001" hidden="1" customHeight="1" thickBot="1" x14ac:dyDescent="0.3">
      <c r="A6" s="59">
        <v>4</v>
      </c>
      <c r="B6" s="60" t="s">
        <v>45</v>
      </c>
      <c r="C6" s="61" t="s">
        <v>46</v>
      </c>
      <c r="D6" s="62" t="s">
        <v>47</v>
      </c>
      <c r="E6" s="62"/>
      <c r="F6" s="63" t="s">
        <v>29</v>
      </c>
      <c r="G6" s="64" t="s">
        <v>48</v>
      </c>
      <c r="H6" s="64" t="s">
        <v>49</v>
      </c>
      <c r="I6" s="65" t="s">
        <v>39</v>
      </c>
      <c r="J6" s="65"/>
      <c r="K6" s="62"/>
      <c r="L6" s="62">
        <f t="shared" si="0"/>
        <v>0</v>
      </c>
      <c r="M6" s="62"/>
      <c r="N6" s="61"/>
      <c r="O6" s="61"/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6">
        <v>19000</v>
      </c>
      <c r="AC6" s="66">
        <v>19000</v>
      </c>
      <c r="AD6" s="67">
        <f t="shared" si="1"/>
        <v>0</v>
      </c>
      <c r="AE6" s="67">
        <f t="shared" si="2"/>
        <v>19000</v>
      </c>
      <c r="AF6" s="67">
        <f t="shared" si="2"/>
        <v>19000</v>
      </c>
      <c r="AG6" s="67">
        <f t="shared" si="3"/>
        <v>0</v>
      </c>
      <c r="AH6" s="68"/>
    </row>
    <row r="7" spans="1:90" s="77" customFormat="1" ht="18.600000000000001" hidden="1" customHeight="1" x14ac:dyDescent="0.3">
      <c r="A7" s="47">
        <v>2</v>
      </c>
      <c r="B7" s="48" t="s">
        <v>50</v>
      </c>
      <c r="C7" s="49" t="s">
        <v>51</v>
      </c>
      <c r="D7" s="50" t="s">
        <v>52</v>
      </c>
      <c r="E7" s="69" t="s">
        <v>53</v>
      </c>
      <c r="F7" s="51" t="s">
        <v>54</v>
      </c>
      <c r="G7" s="52" t="s">
        <v>37</v>
      </c>
      <c r="H7" s="52" t="s">
        <v>55</v>
      </c>
      <c r="I7" s="38" t="s">
        <v>32</v>
      </c>
      <c r="J7" s="38"/>
      <c r="K7" s="50"/>
      <c r="L7" s="25">
        <f>K7-J7</f>
        <v>0</v>
      </c>
      <c r="M7" s="70"/>
      <c r="N7" s="50"/>
      <c r="O7" s="50">
        <f>N7-M7</f>
        <v>0</v>
      </c>
      <c r="P7" s="71">
        <v>2791.48</v>
      </c>
      <c r="Q7" s="72">
        <v>3000</v>
      </c>
      <c r="R7" s="72">
        <f>Q7-P7</f>
        <v>208.51999999999998</v>
      </c>
      <c r="S7" s="72">
        <v>500</v>
      </c>
      <c r="T7" s="55">
        <v>500</v>
      </c>
      <c r="U7" s="55">
        <f>T7-S7</f>
        <v>0</v>
      </c>
      <c r="V7" s="55"/>
      <c r="W7" s="50"/>
      <c r="X7" s="55">
        <f>W7-V7</f>
        <v>0</v>
      </c>
      <c r="Y7" s="50"/>
      <c r="Z7" s="50"/>
      <c r="AA7" s="50">
        <f>Z7-Y7</f>
        <v>0</v>
      </c>
      <c r="AB7" s="27">
        <v>26382.720000000001</v>
      </c>
      <c r="AC7" s="56">
        <v>26500</v>
      </c>
      <c r="AD7" s="73">
        <f>AC7-AB7</f>
        <v>117.27999999999884</v>
      </c>
      <c r="AE7" s="74">
        <f>SUM(J7,M7,P7,S7,V7,Y7)+AB7</f>
        <v>29674.2</v>
      </c>
      <c r="AF7" s="73">
        <f>SUM(K7,N7,Q7,T7,W7,Z7)+AC7</f>
        <v>30000</v>
      </c>
      <c r="AG7" s="75">
        <f>AF7-AE7</f>
        <v>325.79999999999927</v>
      </c>
      <c r="AH7" s="76"/>
      <c r="AI7" s="29"/>
      <c r="AJ7" s="29"/>
      <c r="AK7" s="29"/>
      <c r="AL7" s="29"/>
      <c r="AM7" s="29"/>
      <c r="AN7" s="29"/>
      <c r="AO7" s="29"/>
      <c r="AP7" s="29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</row>
    <row r="8" spans="1:90" s="58" customFormat="1" ht="18.600000000000001" hidden="1" customHeight="1" x14ac:dyDescent="0.3">
      <c r="A8" s="47">
        <v>3</v>
      </c>
      <c r="B8" s="48" t="s">
        <v>56</v>
      </c>
      <c r="C8" s="49" t="s">
        <v>57</v>
      </c>
      <c r="D8" s="50" t="s">
        <v>58</v>
      </c>
      <c r="E8" s="69" t="s">
        <v>53</v>
      </c>
      <c r="F8" s="51" t="s">
        <v>54</v>
      </c>
      <c r="G8" s="52" t="s">
        <v>30</v>
      </c>
      <c r="H8" s="53" t="s">
        <v>59</v>
      </c>
      <c r="I8" s="78" t="s">
        <v>32</v>
      </c>
      <c r="J8" s="78"/>
      <c r="K8" s="50"/>
      <c r="L8" s="25">
        <f>K8-J8</f>
        <v>0</v>
      </c>
      <c r="M8" s="39">
        <v>2000</v>
      </c>
      <c r="N8" s="55">
        <v>2500</v>
      </c>
      <c r="O8" s="50">
        <f t="shared" ref="O8:O10" si="4">N8-M8</f>
        <v>500</v>
      </c>
      <c r="P8" s="27">
        <v>4378.13</v>
      </c>
      <c r="Q8" s="56">
        <v>5000</v>
      </c>
      <c r="R8" s="72">
        <f t="shared" ref="R8:R10" si="5">Q8-P8</f>
        <v>621.86999999999989</v>
      </c>
      <c r="S8" s="56"/>
      <c r="T8" s="50"/>
      <c r="U8" s="55">
        <f t="shared" ref="U8:U10" si="6">T8-S8</f>
        <v>0</v>
      </c>
      <c r="V8" s="50"/>
      <c r="W8" s="50"/>
      <c r="X8" s="55">
        <f t="shared" ref="X8:X10" si="7">W8-V8</f>
        <v>0</v>
      </c>
      <c r="Y8" s="50"/>
      <c r="Z8" s="50"/>
      <c r="AA8" s="50">
        <f t="shared" ref="AA8:AA10" si="8">Z8-Y8</f>
        <v>0</v>
      </c>
      <c r="AB8" s="27">
        <v>27562.5</v>
      </c>
      <c r="AC8" s="56">
        <v>28000</v>
      </c>
      <c r="AD8" s="79">
        <f t="shared" ref="AD8:AD10" si="9">AC8-AB8</f>
        <v>437.5</v>
      </c>
      <c r="AE8" s="80">
        <f t="shared" ref="AE8:AF10" si="10">SUM(J8,M8,P8,S8,V8,Y8)+AB8</f>
        <v>33940.629999999997</v>
      </c>
      <c r="AF8" s="79">
        <f t="shared" si="10"/>
        <v>35500</v>
      </c>
      <c r="AG8" s="56">
        <f t="shared" ref="AG8:AG10" si="11">AF8-AE8</f>
        <v>1559.3700000000026</v>
      </c>
      <c r="AH8" s="76"/>
      <c r="AI8" s="29"/>
      <c r="AJ8" s="29"/>
      <c r="AK8" s="29"/>
      <c r="AL8" s="29"/>
      <c r="AM8" s="29"/>
      <c r="AN8" s="29"/>
      <c r="AO8" s="29"/>
      <c r="AP8" s="29"/>
    </row>
    <row r="9" spans="1:90" s="58" customFormat="1" ht="18.600000000000001" hidden="1" customHeight="1" x14ac:dyDescent="0.3">
      <c r="A9" s="47">
        <v>4</v>
      </c>
      <c r="B9" s="48" t="s">
        <v>60</v>
      </c>
      <c r="C9" s="49" t="s">
        <v>61</v>
      </c>
      <c r="D9" s="50" t="s">
        <v>62</v>
      </c>
      <c r="E9" s="69" t="s">
        <v>53</v>
      </c>
      <c r="F9" s="51" t="s">
        <v>54</v>
      </c>
      <c r="G9" s="52" t="s">
        <v>30</v>
      </c>
      <c r="H9" s="52" t="s">
        <v>63</v>
      </c>
      <c r="I9" s="38" t="s">
        <v>39</v>
      </c>
      <c r="J9" s="38"/>
      <c r="K9" s="50"/>
      <c r="L9" s="25">
        <f>K9-J9</f>
        <v>0</v>
      </c>
      <c r="M9" s="27">
        <v>892.5</v>
      </c>
      <c r="N9" s="56">
        <v>2000</v>
      </c>
      <c r="O9" s="50">
        <f t="shared" si="4"/>
        <v>1107.5</v>
      </c>
      <c r="P9" s="39">
        <v>1000</v>
      </c>
      <c r="Q9" s="54">
        <v>1000</v>
      </c>
      <c r="R9" s="72">
        <f t="shared" si="5"/>
        <v>0</v>
      </c>
      <c r="S9" s="55"/>
      <c r="T9" s="50"/>
      <c r="U9" s="55">
        <f t="shared" si="6"/>
        <v>0</v>
      </c>
      <c r="V9" s="50"/>
      <c r="W9" s="50"/>
      <c r="X9" s="55">
        <f t="shared" si="7"/>
        <v>0</v>
      </c>
      <c r="Y9" s="50"/>
      <c r="Z9" s="50"/>
      <c r="AA9" s="50">
        <f t="shared" si="8"/>
        <v>0</v>
      </c>
      <c r="AB9" s="27">
        <v>17850</v>
      </c>
      <c r="AC9" s="56">
        <v>19000</v>
      </c>
      <c r="AD9" s="79">
        <f t="shared" si="9"/>
        <v>1150</v>
      </c>
      <c r="AE9" s="80">
        <f t="shared" si="10"/>
        <v>19742.5</v>
      </c>
      <c r="AF9" s="79">
        <f t="shared" si="10"/>
        <v>22000</v>
      </c>
      <c r="AG9" s="56">
        <f t="shared" si="11"/>
        <v>2257.5</v>
      </c>
      <c r="AH9" s="76"/>
      <c r="AI9" s="29"/>
      <c r="AJ9" s="29"/>
      <c r="AK9" s="29"/>
      <c r="AL9" s="29"/>
      <c r="AM9" s="29"/>
      <c r="AN9" s="29"/>
      <c r="AO9" s="29"/>
      <c r="AP9" s="29"/>
    </row>
    <row r="10" spans="1:90" s="277" customFormat="1" ht="18.600000000000001" hidden="1" customHeight="1" thickBot="1" x14ac:dyDescent="0.3">
      <c r="A10" s="265">
        <v>5</v>
      </c>
      <c r="B10" s="266" t="s">
        <v>64</v>
      </c>
      <c r="C10" s="267" t="s">
        <v>65</v>
      </c>
      <c r="D10" s="268" t="s">
        <v>66</v>
      </c>
      <c r="E10" s="84" t="s">
        <v>67</v>
      </c>
      <c r="F10" s="267" t="s">
        <v>54</v>
      </c>
      <c r="G10" s="269" t="s">
        <v>48</v>
      </c>
      <c r="H10" s="270" t="s">
        <v>68</v>
      </c>
      <c r="I10" s="270" t="s">
        <v>69</v>
      </c>
      <c r="J10" s="270"/>
      <c r="K10" s="268"/>
      <c r="L10" s="271">
        <f>K10-J10</f>
        <v>0</v>
      </c>
      <c r="M10" s="271">
        <v>1000</v>
      </c>
      <c r="N10" s="271">
        <v>1000</v>
      </c>
      <c r="O10" s="272">
        <f t="shared" si="4"/>
        <v>0</v>
      </c>
      <c r="P10" s="271">
        <v>2000</v>
      </c>
      <c r="Q10" s="271">
        <v>2000</v>
      </c>
      <c r="R10" s="273">
        <f t="shared" si="5"/>
        <v>0</v>
      </c>
      <c r="S10" s="271"/>
      <c r="T10" s="268"/>
      <c r="U10" s="274">
        <f t="shared" si="6"/>
        <v>0</v>
      </c>
      <c r="V10" s="268"/>
      <c r="W10" s="268"/>
      <c r="X10" s="271">
        <f t="shared" si="7"/>
        <v>0</v>
      </c>
      <c r="Y10" s="268"/>
      <c r="Z10" s="268"/>
      <c r="AA10" s="272">
        <f t="shared" si="8"/>
        <v>0</v>
      </c>
      <c r="AB10" s="275">
        <v>25000</v>
      </c>
      <c r="AC10" s="275">
        <v>25000</v>
      </c>
      <c r="AD10" s="275">
        <f t="shared" si="9"/>
        <v>0</v>
      </c>
      <c r="AE10" s="275">
        <f t="shared" si="10"/>
        <v>28000</v>
      </c>
      <c r="AF10" s="275">
        <f t="shared" si="10"/>
        <v>28000</v>
      </c>
      <c r="AG10" s="275">
        <f t="shared" si="11"/>
        <v>0</v>
      </c>
      <c r="AH10" s="276"/>
    </row>
    <row r="11" spans="1:90" s="29" customFormat="1" ht="18.600000000000001" customHeight="1" x14ac:dyDescent="0.25">
      <c r="A11" s="91" t="s">
        <v>70</v>
      </c>
      <c r="B11" s="92" t="s">
        <v>71</v>
      </c>
      <c r="C11" s="93" t="s">
        <v>72</v>
      </c>
      <c r="D11" s="94" t="s">
        <v>73</v>
      </c>
      <c r="E11" s="94"/>
      <c r="F11" s="95" t="s">
        <v>67</v>
      </c>
      <c r="G11" s="96" t="s">
        <v>74</v>
      </c>
      <c r="H11" s="96" t="s">
        <v>75</v>
      </c>
      <c r="I11" s="96" t="s">
        <v>32</v>
      </c>
      <c r="J11" s="96"/>
      <c r="K11" s="97"/>
      <c r="L11" s="98">
        <f>J11-K11</f>
        <v>0</v>
      </c>
      <c r="M11" s="99">
        <v>2000</v>
      </c>
      <c r="N11" s="99">
        <v>2000</v>
      </c>
      <c r="O11" s="100">
        <f>N11-M11</f>
        <v>0</v>
      </c>
      <c r="P11" s="99">
        <v>2500</v>
      </c>
      <c r="Q11" s="99">
        <v>2500</v>
      </c>
      <c r="R11" s="100">
        <f>Q11-P11</f>
        <v>0</v>
      </c>
      <c r="S11" s="94"/>
      <c r="T11" s="94"/>
      <c r="U11" s="100">
        <f>T11-S11</f>
        <v>0</v>
      </c>
      <c r="V11" s="94"/>
      <c r="W11" s="94"/>
      <c r="X11" s="99">
        <f>W11-V11</f>
        <v>0</v>
      </c>
      <c r="Y11" s="94"/>
      <c r="Z11" s="94"/>
      <c r="AA11" s="100">
        <f>Z11-Y11</f>
        <v>0</v>
      </c>
      <c r="AB11" s="101">
        <v>26000</v>
      </c>
      <c r="AC11" s="102">
        <v>26000</v>
      </c>
      <c r="AD11" s="103">
        <f>AC11-AB11</f>
        <v>0</v>
      </c>
      <c r="AE11" s="103">
        <f>SUM(J11,M11,P11,S11,V11,Y11)+AB11</f>
        <v>30500</v>
      </c>
      <c r="AF11" s="103">
        <f>SUM(K11,N11,Q11,T11,W11,Z11)+AC11</f>
        <v>30500</v>
      </c>
      <c r="AG11" s="103">
        <f>AF11-AE11</f>
        <v>0</v>
      </c>
      <c r="AH11" s="104"/>
    </row>
    <row r="12" spans="1:90" s="58" customFormat="1" ht="18.600000000000001" customHeight="1" x14ac:dyDescent="0.25">
      <c r="A12" s="47">
        <v>2</v>
      </c>
      <c r="B12" s="121" t="s">
        <v>76</v>
      </c>
      <c r="C12" s="122" t="s">
        <v>77</v>
      </c>
      <c r="D12" s="123" t="s">
        <v>78</v>
      </c>
      <c r="E12" s="140"/>
      <c r="F12" s="122" t="s">
        <v>67</v>
      </c>
      <c r="G12" s="125" t="s">
        <v>79</v>
      </c>
      <c r="H12" s="140" t="s">
        <v>80</v>
      </c>
      <c r="I12" s="125" t="s">
        <v>32</v>
      </c>
      <c r="J12" s="125"/>
      <c r="K12" s="123"/>
      <c r="L12" s="89">
        <f t="shared" ref="L12:L24" si="12">J12-K12</f>
        <v>0</v>
      </c>
      <c r="M12" s="309">
        <v>2300</v>
      </c>
      <c r="N12" s="309">
        <v>3000</v>
      </c>
      <c r="O12" s="278">
        <f t="shared" ref="O12:O24" si="13">N12-M12</f>
        <v>700</v>
      </c>
      <c r="P12" s="123">
        <v>1000</v>
      </c>
      <c r="Q12" s="123">
        <v>1500</v>
      </c>
      <c r="R12" s="278">
        <f t="shared" ref="R12:R24" si="14">Q12-P12</f>
        <v>500</v>
      </c>
      <c r="S12" s="123"/>
      <c r="T12" s="123"/>
      <c r="U12" s="278">
        <f t="shared" ref="U12:U24" si="15">T12-S12</f>
        <v>0</v>
      </c>
      <c r="V12" s="123"/>
      <c r="W12" s="123"/>
      <c r="X12" s="278">
        <f t="shared" ref="X12:X24" si="16">W12-V12</f>
        <v>0</v>
      </c>
      <c r="Y12" s="123"/>
      <c r="Z12" s="123"/>
      <c r="AA12" s="278">
        <f t="shared" ref="AA12:AA24" si="17">Z12-Y12</f>
        <v>0</v>
      </c>
      <c r="AB12" s="309">
        <v>26000</v>
      </c>
      <c r="AC12" s="127">
        <v>26000</v>
      </c>
      <c r="AD12" s="56">
        <f t="shared" ref="AD12:AD24" si="18">AC12-AB12</f>
        <v>0</v>
      </c>
      <c r="AE12" s="56">
        <f t="shared" ref="AE12:AF24" si="19">SUM(J12,M12,P12,S12,V12,Y12)+AB12</f>
        <v>29300</v>
      </c>
      <c r="AF12" s="56">
        <f t="shared" si="19"/>
        <v>30500</v>
      </c>
      <c r="AG12" s="56">
        <f t="shared" ref="AG12:AG24" si="20">AF12-AE12</f>
        <v>1200</v>
      </c>
      <c r="AH12" s="128"/>
      <c r="AI12" s="29"/>
      <c r="AJ12" s="29"/>
      <c r="AK12" s="29"/>
      <c r="AL12" s="29"/>
      <c r="AM12" s="29"/>
      <c r="AN12" s="29"/>
      <c r="AO12" s="29"/>
      <c r="AP12" s="29"/>
    </row>
    <row r="13" spans="1:90" s="29" customFormat="1" ht="18.600000000000001" customHeight="1" x14ac:dyDescent="0.25">
      <c r="A13" s="91" t="s">
        <v>81</v>
      </c>
      <c r="B13" s="106" t="s">
        <v>82</v>
      </c>
      <c r="C13" s="107" t="s">
        <v>83</v>
      </c>
      <c r="D13" s="108" t="s">
        <v>84</v>
      </c>
      <c r="E13" s="109"/>
      <c r="F13" s="110" t="s">
        <v>67</v>
      </c>
      <c r="G13" s="111" t="s">
        <v>79</v>
      </c>
      <c r="H13" s="112" t="s">
        <v>85</v>
      </c>
      <c r="I13" s="111" t="s">
        <v>69</v>
      </c>
      <c r="J13" s="111"/>
      <c r="K13" s="108"/>
      <c r="L13" s="25">
        <f t="shared" si="12"/>
        <v>0</v>
      </c>
      <c r="M13" s="107"/>
      <c r="N13" s="107"/>
      <c r="O13" s="99">
        <f t="shared" si="13"/>
        <v>0</v>
      </c>
      <c r="P13" s="108"/>
      <c r="Q13" s="108"/>
      <c r="R13" s="99">
        <f t="shared" si="14"/>
        <v>0</v>
      </c>
      <c r="S13" s="108"/>
      <c r="T13" s="108"/>
      <c r="U13" s="99">
        <f t="shared" si="15"/>
        <v>0</v>
      </c>
      <c r="V13" s="108"/>
      <c r="W13" s="108"/>
      <c r="X13" s="99">
        <f t="shared" si="16"/>
        <v>0</v>
      </c>
      <c r="Y13" s="108"/>
      <c r="Z13" s="108"/>
      <c r="AA13" s="99">
        <f t="shared" si="17"/>
        <v>0</v>
      </c>
      <c r="AB13" s="113">
        <v>42000</v>
      </c>
      <c r="AC13" s="114">
        <v>42000</v>
      </c>
      <c r="AD13" s="27">
        <f t="shared" si="18"/>
        <v>0</v>
      </c>
      <c r="AE13" s="27">
        <f t="shared" si="19"/>
        <v>42000</v>
      </c>
      <c r="AF13" s="27">
        <f t="shared" si="19"/>
        <v>42000</v>
      </c>
      <c r="AG13" s="27">
        <f t="shared" si="20"/>
        <v>0</v>
      </c>
      <c r="AH13" s="115"/>
    </row>
    <row r="14" spans="1:90" s="29" customFormat="1" ht="18.600000000000001" customHeight="1" x14ac:dyDescent="0.25">
      <c r="A14" s="105">
        <v>4</v>
      </c>
      <c r="B14" s="106" t="s">
        <v>86</v>
      </c>
      <c r="C14" s="107" t="s">
        <v>87</v>
      </c>
      <c r="D14" s="108" t="s">
        <v>88</v>
      </c>
      <c r="E14" s="109"/>
      <c r="F14" s="110" t="s">
        <v>67</v>
      </c>
      <c r="G14" s="111" t="s">
        <v>37</v>
      </c>
      <c r="H14" s="112" t="s">
        <v>89</v>
      </c>
      <c r="I14" s="111" t="s">
        <v>32</v>
      </c>
      <c r="J14" s="111"/>
      <c r="K14" s="108"/>
      <c r="L14" s="25">
        <f t="shared" si="12"/>
        <v>0</v>
      </c>
      <c r="M14" s="107"/>
      <c r="N14" s="107"/>
      <c r="O14" s="99">
        <f t="shared" si="13"/>
        <v>0</v>
      </c>
      <c r="P14" s="108"/>
      <c r="Q14" s="108"/>
      <c r="R14" s="99">
        <f t="shared" si="14"/>
        <v>0</v>
      </c>
      <c r="S14" s="108"/>
      <c r="T14" s="108"/>
      <c r="U14" s="99">
        <f t="shared" si="15"/>
        <v>0</v>
      </c>
      <c r="V14" s="108"/>
      <c r="W14" s="108"/>
      <c r="X14" s="99">
        <f t="shared" si="16"/>
        <v>0</v>
      </c>
      <c r="Y14" s="108"/>
      <c r="Z14" s="108"/>
      <c r="AA14" s="99">
        <f t="shared" si="17"/>
        <v>0</v>
      </c>
      <c r="AB14" s="113">
        <v>24979.5</v>
      </c>
      <c r="AC14" s="114">
        <v>24979.5</v>
      </c>
      <c r="AD14" s="27">
        <f t="shared" si="18"/>
        <v>0</v>
      </c>
      <c r="AE14" s="27">
        <f t="shared" si="19"/>
        <v>24979.5</v>
      </c>
      <c r="AF14" s="27">
        <f t="shared" si="19"/>
        <v>24979.5</v>
      </c>
      <c r="AG14" s="27">
        <f t="shared" si="20"/>
        <v>0</v>
      </c>
      <c r="AH14" s="115"/>
    </row>
    <row r="15" spans="1:90" s="58" customFormat="1" ht="18.600000000000001" customHeight="1" x14ac:dyDescent="0.25">
      <c r="A15" s="120" t="s">
        <v>90</v>
      </c>
      <c r="B15" s="121" t="s">
        <v>91</v>
      </c>
      <c r="C15" s="122" t="s">
        <v>92</v>
      </c>
      <c r="D15" s="123" t="s">
        <v>93</v>
      </c>
      <c r="E15" s="123"/>
      <c r="F15" s="122" t="s">
        <v>67</v>
      </c>
      <c r="G15" s="125" t="s">
        <v>94</v>
      </c>
      <c r="H15" s="125" t="s">
        <v>95</v>
      </c>
      <c r="I15" s="125" t="s">
        <v>96</v>
      </c>
      <c r="J15" s="125"/>
      <c r="K15" s="123"/>
      <c r="L15" s="89">
        <f t="shared" si="12"/>
        <v>0</v>
      </c>
      <c r="M15" s="126">
        <v>1000</v>
      </c>
      <c r="N15" s="126">
        <v>1500</v>
      </c>
      <c r="O15" s="278">
        <f t="shared" si="13"/>
        <v>500</v>
      </c>
      <c r="P15" s="126"/>
      <c r="Q15" s="126">
        <v>1000</v>
      </c>
      <c r="R15" s="278">
        <f t="shared" si="14"/>
        <v>1000</v>
      </c>
      <c r="S15" s="126">
        <v>500</v>
      </c>
      <c r="T15" s="126">
        <v>500</v>
      </c>
      <c r="U15" s="278">
        <f t="shared" si="15"/>
        <v>0</v>
      </c>
      <c r="V15" s="126"/>
      <c r="W15" s="123"/>
      <c r="X15" s="278">
        <f t="shared" si="16"/>
        <v>0</v>
      </c>
      <c r="Y15" s="123"/>
      <c r="Z15" s="123"/>
      <c r="AA15" s="278">
        <f t="shared" si="17"/>
        <v>0</v>
      </c>
      <c r="AB15" s="309">
        <v>18564</v>
      </c>
      <c r="AC15" s="127">
        <v>19000</v>
      </c>
      <c r="AD15" s="56">
        <f t="shared" si="18"/>
        <v>436</v>
      </c>
      <c r="AE15" s="56">
        <f t="shared" si="19"/>
        <v>20064</v>
      </c>
      <c r="AF15" s="56">
        <f t="shared" si="19"/>
        <v>22000</v>
      </c>
      <c r="AG15" s="56">
        <f t="shared" si="20"/>
        <v>1936</v>
      </c>
      <c r="AH15" s="128"/>
      <c r="AI15" s="29"/>
      <c r="AJ15" s="29"/>
      <c r="AK15" s="29"/>
      <c r="AL15" s="29"/>
      <c r="AM15" s="29"/>
      <c r="AN15" s="29"/>
      <c r="AO15" s="29"/>
      <c r="AP15" s="29"/>
    </row>
    <row r="16" spans="1:90" s="119" customFormat="1" ht="18.600000000000001" customHeight="1" x14ac:dyDescent="0.25">
      <c r="A16" s="105">
        <v>6</v>
      </c>
      <c r="B16" s="19" t="s">
        <v>97</v>
      </c>
      <c r="C16" s="20" t="s">
        <v>98</v>
      </c>
      <c r="D16" s="21" t="s">
        <v>99</v>
      </c>
      <c r="E16" s="116"/>
      <c r="F16" s="110" t="s">
        <v>67</v>
      </c>
      <c r="G16" s="23" t="s">
        <v>48</v>
      </c>
      <c r="H16" s="24" t="s">
        <v>100</v>
      </c>
      <c r="I16" s="24" t="s">
        <v>101</v>
      </c>
      <c r="J16" s="24"/>
      <c r="K16" s="21"/>
      <c r="L16" s="25">
        <f t="shared" si="12"/>
        <v>0</v>
      </c>
      <c r="M16" s="25">
        <v>1000</v>
      </c>
      <c r="N16" s="25">
        <v>1000</v>
      </c>
      <c r="O16" s="99">
        <f t="shared" si="13"/>
        <v>0</v>
      </c>
      <c r="P16" s="25">
        <v>1840</v>
      </c>
      <c r="Q16" s="25">
        <v>1840</v>
      </c>
      <c r="R16" s="99">
        <f t="shared" si="14"/>
        <v>0</v>
      </c>
      <c r="S16" s="25">
        <v>1000</v>
      </c>
      <c r="T16" s="25">
        <v>1000</v>
      </c>
      <c r="U16" s="99">
        <f t="shared" si="15"/>
        <v>0</v>
      </c>
      <c r="V16" s="25"/>
      <c r="W16" s="21"/>
      <c r="X16" s="99">
        <f t="shared" si="16"/>
        <v>0</v>
      </c>
      <c r="Y16" s="21"/>
      <c r="Z16" s="21"/>
      <c r="AA16" s="99">
        <f t="shared" si="17"/>
        <v>0</v>
      </c>
      <c r="AB16" s="80">
        <v>21800</v>
      </c>
      <c r="AC16" s="117">
        <v>21800</v>
      </c>
      <c r="AD16" s="27">
        <f t="shared" si="18"/>
        <v>0</v>
      </c>
      <c r="AE16" s="27">
        <f t="shared" si="19"/>
        <v>25640</v>
      </c>
      <c r="AF16" s="27">
        <f t="shared" si="19"/>
        <v>25640</v>
      </c>
      <c r="AG16" s="27">
        <f t="shared" si="20"/>
        <v>0</v>
      </c>
      <c r="AH16" s="2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</row>
    <row r="17" spans="1:42" s="58" customFormat="1" ht="18.600000000000001" customHeight="1" thickBot="1" x14ac:dyDescent="0.3">
      <c r="A17" s="120" t="s">
        <v>102</v>
      </c>
      <c r="B17" s="121" t="s">
        <v>103</v>
      </c>
      <c r="C17" s="122" t="s">
        <v>104</v>
      </c>
      <c r="D17" s="123" t="s">
        <v>105</v>
      </c>
      <c r="E17" s="123"/>
      <c r="F17" s="122" t="s">
        <v>67</v>
      </c>
      <c r="G17" s="125" t="s">
        <v>30</v>
      </c>
      <c r="H17" s="125" t="s">
        <v>63</v>
      </c>
      <c r="I17" s="125" t="s">
        <v>39</v>
      </c>
      <c r="J17" s="125"/>
      <c r="K17" s="123"/>
      <c r="L17" s="89">
        <f t="shared" si="12"/>
        <v>0</v>
      </c>
      <c r="M17" s="126">
        <v>1000</v>
      </c>
      <c r="N17" s="126">
        <v>2000</v>
      </c>
      <c r="O17" s="278">
        <f t="shared" si="13"/>
        <v>1000</v>
      </c>
      <c r="P17" s="126">
        <v>1000</v>
      </c>
      <c r="Q17" s="126">
        <v>1000</v>
      </c>
      <c r="R17" s="278">
        <f t="shared" si="14"/>
        <v>0</v>
      </c>
      <c r="S17" s="123"/>
      <c r="T17" s="123"/>
      <c r="U17" s="278">
        <f t="shared" si="15"/>
        <v>0</v>
      </c>
      <c r="V17" s="123"/>
      <c r="W17" s="123"/>
      <c r="X17" s="278">
        <f t="shared" si="16"/>
        <v>0</v>
      </c>
      <c r="Y17" s="123"/>
      <c r="Z17" s="123"/>
      <c r="AA17" s="278">
        <f t="shared" si="17"/>
        <v>0</v>
      </c>
      <c r="AB17" s="79">
        <v>18900</v>
      </c>
      <c r="AC17" s="127">
        <v>19000</v>
      </c>
      <c r="AD17" s="56">
        <f t="shared" si="18"/>
        <v>100</v>
      </c>
      <c r="AE17" s="56">
        <f t="shared" si="19"/>
        <v>20900</v>
      </c>
      <c r="AF17" s="56">
        <f t="shared" si="19"/>
        <v>22000</v>
      </c>
      <c r="AG17" s="56">
        <f t="shared" si="20"/>
        <v>1100</v>
      </c>
      <c r="AH17" s="128"/>
      <c r="AJ17" s="279"/>
    </row>
    <row r="18" spans="1:42" s="136" customFormat="1" ht="18.600000000000001" customHeight="1" x14ac:dyDescent="0.25">
      <c r="A18" s="30">
        <v>8</v>
      </c>
      <c r="B18" s="129" t="s">
        <v>106</v>
      </c>
      <c r="C18" s="130" t="s">
        <v>107</v>
      </c>
      <c r="D18" s="131" t="s">
        <v>108</v>
      </c>
      <c r="E18" s="69" t="s">
        <v>53</v>
      </c>
      <c r="F18" s="110" t="s">
        <v>67</v>
      </c>
      <c r="G18" s="132" t="s">
        <v>30</v>
      </c>
      <c r="H18" s="133" t="s">
        <v>109</v>
      </c>
      <c r="I18" s="112" t="s">
        <v>69</v>
      </c>
      <c r="J18" s="112"/>
      <c r="K18" s="124"/>
      <c r="L18" s="25">
        <f t="shared" si="12"/>
        <v>0</v>
      </c>
      <c r="M18" s="107"/>
      <c r="N18" s="130"/>
      <c r="O18" s="99">
        <f t="shared" si="13"/>
        <v>0</v>
      </c>
      <c r="P18" s="108"/>
      <c r="Q18" s="124"/>
      <c r="R18" s="99">
        <f t="shared" si="14"/>
        <v>0</v>
      </c>
      <c r="S18" s="108"/>
      <c r="T18" s="124"/>
      <c r="U18" s="99">
        <f t="shared" si="15"/>
        <v>0</v>
      </c>
      <c r="V18" s="124"/>
      <c r="W18" s="124"/>
      <c r="X18" s="99">
        <f t="shared" si="16"/>
        <v>0</v>
      </c>
      <c r="Y18" s="108"/>
      <c r="Z18" s="124"/>
      <c r="AA18" s="99">
        <f t="shared" si="17"/>
        <v>0</v>
      </c>
      <c r="AB18" s="80">
        <v>36050</v>
      </c>
      <c r="AC18" s="134">
        <v>36050</v>
      </c>
      <c r="AD18" s="27">
        <f t="shared" si="18"/>
        <v>0</v>
      </c>
      <c r="AE18" s="27">
        <f t="shared" si="19"/>
        <v>36050</v>
      </c>
      <c r="AF18" s="27">
        <f t="shared" si="19"/>
        <v>36050</v>
      </c>
      <c r="AG18" s="27">
        <f t="shared" si="20"/>
        <v>0</v>
      </c>
      <c r="AH18" s="135"/>
      <c r="AI18" s="29"/>
      <c r="AJ18" s="29"/>
      <c r="AK18" s="29"/>
      <c r="AL18" s="29"/>
      <c r="AM18" s="29"/>
      <c r="AN18" s="29"/>
      <c r="AO18" s="29"/>
      <c r="AP18" s="29"/>
    </row>
    <row r="19" spans="1:42" s="58" customFormat="1" ht="18.600000000000001" customHeight="1" x14ac:dyDescent="0.25">
      <c r="A19" s="120" t="s">
        <v>110</v>
      </c>
      <c r="B19" s="137" t="s">
        <v>111</v>
      </c>
      <c r="C19" s="138" t="s">
        <v>112</v>
      </c>
      <c r="D19" s="88" t="s">
        <v>113</v>
      </c>
      <c r="E19" s="139"/>
      <c r="F19" s="280" t="s">
        <v>67</v>
      </c>
      <c r="G19" s="125" t="s">
        <v>74</v>
      </c>
      <c r="H19" s="140" t="s">
        <v>114</v>
      </c>
      <c r="I19" s="140" t="s">
        <v>96</v>
      </c>
      <c r="J19" s="281"/>
      <c r="K19" s="141"/>
      <c r="L19" s="89">
        <f t="shared" si="12"/>
        <v>0</v>
      </c>
      <c r="M19" s="142">
        <v>1812.8</v>
      </c>
      <c r="N19" s="142">
        <v>2000</v>
      </c>
      <c r="O19" s="278">
        <f t="shared" si="13"/>
        <v>187.20000000000005</v>
      </c>
      <c r="P19" s="123"/>
      <c r="Q19" s="123">
        <v>1000</v>
      </c>
      <c r="R19" s="278">
        <f t="shared" si="14"/>
        <v>1000</v>
      </c>
      <c r="S19" s="123"/>
      <c r="T19" s="123"/>
      <c r="U19" s="278">
        <f t="shared" si="15"/>
        <v>0</v>
      </c>
      <c r="V19" s="123"/>
      <c r="W19" s="123"/>
      <c r="X19" s="278">
        <f t="shared" si="16"/>
        <v>0</v>
      </c>
      <c r="Y19" s="123"/>
      <c r="Z19" s="123"/>
      <c r="AA19" s="278">
        <f t="shared" si="17"/>
        <v>0</v>
      </c>
      <c r="AB19" s="79">
        <v>22660</v>
      </c>
      <c r="AC19" s="127">
        <v>23000</v>
      </c>
      <c r="AD19" s="56">
        <f t="shared" si="18"/>
        <v>340</v>
      </c>
      <c r="AE19" s="56">
        <f t="shared" si="19"/>
        <v>24472.799999999999</v>
      </c>
      <c r="AF19" s="56">
        <f t="shared" si="19"/>
        <v>26000</v>
      </c>
      <c r="AG19" s="56">
        <f t="shared" si="20"/>
        <v>1527.2000000000007</v>
      </c>
      <c r="AH19" s="128"/>
    </row>
    <row r="20" spans="1:42" s="29" customFormat="1" ht="18.600000000000001" customHeight="1" x14ac:dyDescent="0.25">
      <c r="A20" s="105">
        <v>10</v>
      </c>
      <c r="B20" s="143" t="s">
        <v>115</v>
      </c>
      <c r="C20" s="32" t="s">
        <v>116</v>
      </c>
      <c r="D20" s="70" t="s">
        <v>117</v>
      </c>
      <c r="E20" s="70"/>
      <c r="F20" s="51" t="s">
        <v>67</v>
      </c>
      <c r="G20" s="38" t="s">
        <v>74</v>
      </c>
      <c r="H20" s="38" t="s">
        <v>118</v>
      </c>
      <c r="I20" s="38" t="s">
        <v>119</v>
      </c>
      <c r="J20" s="38"/>
      <c r="K20" s="143"/>
      <c r="L20" s="25">
        <f t="shared" si="12"/>
        <v>0</v>
      </c>
      <c r="M20" s="39">
        <v>10000</v>
      </c>
      <c r="N20" s="39">
        <v>10000</v>
      </c>
      <c r="O20" s="99">
        <f t="shared" si="13"/>
        <v>0</v>
      </c>
      <c r="P20" s="39">
        <v>10000</v>
      </c>
      <c r="Q20" s="39">
        <v>10000</v>
      </c>
      <c r="R20" s="99">
        <f t="shared" si="14"/>
        <v>0</v>
      </c>
      <c r="S20" s="39"/>
      <c r="T20" s="39"/>
      <c r="U20" s="99">
        <f t="shared" si="15"/>
        <v>0</v>
      </c>
      <c r="V20" s="39"/>
      <c r="W20" s="39"/>
      <c r="X20" s="99">
        <f t="shared" si="16"/>
        <v>0</v>
      </c>
      <c r="Y20" s="39">
        <v>5000</v>
      </c>
      <c r="Z20" s="39">
        <v>5000</v>
      </c>
      <c r="AA20" s="99">
        <f t="shared" si="17"/>
        <v>0</v>
      </c>
      <c r="AB20" s="80">
        <v>50000</v>
      </c>
      <c r="AC20" s="144">
        <v>50000</v>
      </c>
      <c r="AD20" s="27">
        <f t="shared" si="18"/>
        <v>0</v>
      </c>
      <c r="AE20" s="27">
        <f t="shared" si="19"/>
        <v>75000</v>
      </c>
      <c r="AF20" s="27">
        <f t="shared" si="19"/>
        <v>75000</v>
      </c>
      <c r="AG20" s="27">
        <f t="shared" si="20"/>
        <v>0</v>
      </c>
      <c r="AH20" s="128" t="s">
        <v>120</v>
      </c>
    </row>
    <row r="21" spans="1:42" s="29" customFormat="1" ht="18.600000000000001" customHeight="1" x14ac:dyDescent="0.25">
      <c r="A21" s="91" t="s">
        <v>121</v>
      </c>
      <c r="B21" s="143" t="s">
        <v>122</v>
      </c>
      <c r="C21" s="32" t="s">
        <v>123</v>
      </c>
      <c r="D21" s="70" t="s">
        <v>124</v>
      </c>
      <c r="E21" s="34"/>
      <c r="F21" s="51" t="s">
        <v>67</v>
      </c>
      <c r="G21" s="38" t="s">
        <v>30</v>
      </c>
      <c r="H21" s="78" t="s">
        <v>125</v>
      </c>
      <c r="I21" s="78" t="s">
        <v>32</v>
      </c>
      <c r="J21" s="78"/>
      <c r="K21" s="70"/>
      <c r="L21" s="25">
        <f t="shared" si="12"/>
        <v>0</v>
      </c>
      <c r="M21" s="70"/>
      <c r="N21" s="39"/>
      <c r="O21" s="99">
        <f t="shared" si="13"/>
        <v>0</v>
      </c>
      <c r="P21" s="39"/>
      <c r="Q21" s="70"/>
      <c r="R21" s="99">
        <f t="shared" si="14"/>
        <v>0</v>
      </c>
      <c r="S21" s="70"/>
      <c r="T21" s="70"/>
      <c r="U21" s="99">
        <f t="shared" si="15"/>
        <v>0</v>
      </c>
      <c r="V21" s="70"/>
      <c r="W21" s="70"/>
      <c r="X21" s="99">
        <f t="shared" si="16"/>
        <v>0</v>
      </c>
      <c r="Y21" s="70"/>
      <c r="Z21" s="70"/>
      <c r="AA21" s="99">
        <f t="shared" si="17"/>
        <v>0</v>
      </c>
      <c r="AB21" s="145">
        <v>12000</v>
      </c>
      <c r="AC21" s="144">
        <v>12000</v>
      </c>
      <c r="AD21" s="27">
        <f t="shared" si="18"/>
        <v>0</v>
      </c>
      <c r="AE21" s="27">
        <f t="shared" si="19"/>
        <v>12000</v>
      </c>
      <c r="AF21" s="27">
        <f t="shared" si="19"/>
        <v>12000</v>
      </c>
      <c r="AG21" s="27">
        <f t="shared" si="20"/>
        <v>0</v>
      </c>
      <c r="AH21" s="128" t="s">
        <v>126</v>
      </c>
    </row>
    <row r="22" spans="1:42" s="29" customFormat="1" ht="18.600000000000001" customHeight="1" x14ac:dyDescent="0.25">
      <c r="A22" s="105">
        <v>12</v>
      </c>
      <c r="B22" s="147" t="s">
        <v>127</v>
      </c>
      <c r="C22" s="148" t="s">
        <v>128</v>
      </c>
      <c r="D22" s="70" t="s">
        <v>129</v>
      </c>
      <c r="E22" s="33" t="s">
        <v>130</v>
      </c>
      <c r="F22" s="149" t="s">
        <v>67</v>
      </c>
      <c r="G22" s="38" t="s">
        <v>94</v>
      </c>
      <c r="H22" s="38" t="s">
        <v>131</v>
      </c>
      <c r="I22" s="23" t="s">
        <v>69</v>
      </c>
      <c r="J22" s="23"/>
      <c r="K22" s="21"/>
      <c r="L22" s="25">
        <f t="shared" si="12"/>
        <v>0</v>
      </c>
      <c r="M22" s="21"/>
      <c r="N22" s="25"/>
      <c r="O22" s="161">
        <f t="shared" si="13"/>
        <v>0</v>
      </c>
      <c r="P22" s="25"/>
      <c r="Q22" s="21"/>
      <c r="R22" s="161">
        <f t="shared" si="14"/>
        <v>0</v>
      </c>
      <c r="S22" s="21"/>
      <c r="T22" s="21"/>
      <c r="U22" s="161">
        <f t="shared" si="15"/>
        <v>0</v>
      </c>
      <c r="V22" s="21"/>
      <c r="W22" s="21"/>
      <c r="X22" s="161">
        <f t="shared" si="16"/>
        <v>0</v>
      </c>
      <c r="Y22" s="21"/>
      <c r="Z22" s="21"/>
      <c r="AA22" s="161">
        <f t="shared" si="17"/>
        <v>0</v>
      </c>
      <c r="AB22" s="80">
        <v>43000</v>
      </c>
      <c r="AC22" s="117">
        <v>43000</v>
      </c>
      <c r="AD22" s="26">
        <f t="shared" si="18"/>
        <v>0</v>
      </c>
      <c r="AE22" s="26">
        <f t="shared" si="19"/>
        <v>43000</v>
      </c>
      <c r="AF22" s="26">
        <f t="shared" si="19"/>
        <v>43000</v>
      </c>
      <c r="AG22" s="26">
        <f t="shared" si="20"/>
        <v>0</v>
      </c>
      <c r="AH22" s="128"/>
    </row>
    <row r="23" spans="1:42" s="29" customFormat="1" ht="18.600000000000001" customHeight="1" x14ac:dyDescent="0.25">
      <c r="A23" s="150">
        <v>14</v>
      </c>
      <c r="B23" s="147" t="s">
        <v>132</v>
      </c>
      <c r="C23" s="118" t="s">
        <v>133</v>
      </c>
      <c r="D23" s="151" t="s">
        <v>134</v>
      </c>
      <c r="E23" s="116"/>
      <c r="F23" s="149" t="s">
        <v>67</v>
      </c>
      <c r="G23" s="152" t="s">
        <v>94</v>
      </c>
      <c r="H23" s="153" t="s">
        <v>135</v>
      </c>
      <c r="I23" s="38"/>
      <c r="J23" s="38"/>
      <c r="K23" s="70"/>
      <c r="L23" s="39">
        <f t="shared" si="12"/>
        <v>0</v>
      </c>
      <c r="M23" s="70"/>
      <c r="N23" s="39"/>
      <c r="O23" s="39">
        <f t="shared" si="13"/>
        <v>0</v>
      </c>
      <c r="P23" s="39"/>
      <c r="Q23" s="70"/>
      <c r="R23" s="39">
        <f t="shared" si="14"/>
        <v>0</v>
      </c>
      <c r="S23" s="70"/>
      <c r="T23" s="70"/>
      <c r="U23" s="39">
        <f t="shared" si="15"/>
        <v>0</v>
      </c>
      <c r="V23" s="70"/>
      <c r="W23" s="70"/>
      <c r="X23" s="39">
        <f t="shared" si="16"/>
        <v>0</v>
      </c>
      <c r="Y23" s="70"/>
      <c r="Z23" s="70"/>
      <c r="AA23" s="39">
        <f t="shared" si="17"/>
        <v>0</v>
      </c>
      <c r="AB23" s="145">
        <v>27000</v>
      </c>
      <c r="AC23" s="27">
        <v>27000</v>
      </c>
      <c r="AD23" s="27">
        <f t="shared" si="18"/>
        <v>0</v>
      </c>
      <c r="AE23" s="27">
        <f t="shared" si="19"/>
        <v>27000</v>
      </c>
      <c r="AF23" s="27">
        <f t="shared" si="19"/>
        <v>27000</v>
      </c>
      <c r="AG23" s="27">
        <f t="shared" si="20"/>
        <v>0</v>
      </c>
      <c r="AH23" s="128"/>
    </row>
    <row r="24" spans="1:42" s="29" customFormat="1" ht="18.600000000000001" customHeight="1" thickBot="1" x14ac:dyDescent="0.3">
      <c r="A24" s="18">
        <v>15</v>
      </c>
      <c r="B24" s="154" t="s">
        <v>136</v>
      </c>
      <c r="C24" s="155" t="s">
        <v>137</v>
      </c>
      <c r="D24" s="156" t="s">
        <v>138</v>
      </c>
      <c r="E24" s="157"/>
      <c r="F24" s="158" t="s">
        <v>67</v>
      </c>
      <c r="G24" s="86" t="s">
        <v>94</v>
      </c>
      <c r="H24" s="159" t="s">
        <v>139</v>
      </c>
      <c r="I24" s="159"/>
      <c r="J24" s="159"/>
      <c r="K24" s="156"/>
      <c r="L24" s="160">
        <f t="shared" si="12"/>
        <v>0</v>
      </c>
      <c r="M24" s="156"/>
      <c r="N24" s="160"/>
      <c r="O24" s="161">
        <f t="shared" si="13"/>
        <v>0</v>
      </c>
      <c r="P24" s="160"/>
      <c r="Q24" s="156"/>
      <c r="R24" s="160">
        <f t="shared" si="14"/>
        <v>0</v>
      </c>
      <c r="S24" s="156"/>
      <c r="T24" s="156"/>
      <c r="U24" s="161">
        <f t="shared" si="15"/>
        <v>0</v>
      </c>
      <c r="V24" s="156"/>
      <c r="W24" s="156"/>
      <c r="X24" s="87">
        <f t="shared" si="16"/>
        <v>0</v>
      </c>
      <c r="Y24" s="156"/>
      <c r="Z24" s="156"/>
      <c r="AA24" s="87">
        <f t="shared" si="17"/>
        <v>0</v>
      </c>
      <c r="AB24" s="162">
        <v>16500</v>
      </c>
      <c r="AC24" s="163">
        <v>16500</v>
      </c>
      <c r="AD24" s="310">
        <f t="shared" si="18"/>
        <v>0</v>
      </c>
      <c r="AE24" s="310">
        <f t="shared" si="19"/>
        <v>16500</v>
      </c>
      <c r="AF24" s="310">
        <f t="shared" si="19"/>
        <v>16500</v>
      </c>
      <c r="AG24" s="310">
        <f t="shared" si="20"/>
        <v>0</v>
      </c>
      <c r="AH24" s="164" t="s">
        <v>140</v>
      </c>
    </row>
    <row r="25" spans="1:42" s="29" customFormat="1" ht="18.600000000000001" hidden="1" customHeight="1" x14ac:dyDescent="0.25">
      <c r="A25" s="165">
        <v>1</v>
      </c>
      <c r="B25" s="166" t="s">
        <v>141</v>
      </c>
      <c r="C25" s="168" t="s">
        <v>142</v>
      </c>
      <c r="D25" s="169" t="s">
        <v>143</v>
      </c>
      <c r="E25" s="170"/>
      <c r="F25" s="171" t="s">
        <v>36</v>
      </c>
      <c r="G25" s="152" t="s">
        <v>74</v>
      </c>
      <c r="H25" s="152" t="s">
        <v>144</v>
      </c>
      <c r="I25" s="152" t="s">
        <v>119</v>
      </c>
      <c r="J25" s="166"/>
      <c r="K25" s="166"/>
      <c r="L25" s="172">
        <f t="shared" si="0"/>
        <v>0</v>
      </c>
      <c r="M25" s="167"/>
      <c r="N25" s="169"/>
      <c r="O25" s="173">
        <f>N25-M25</f>
        <v>0</v>
      </c>
      <c r="P25" s="169"/>
      <c r="Q25" s="169"/>
      <c r="R25" s="172">
        <f>Q25-P25</f>
        <v>0</v>
      </c>
      <c r="S25" s="169"/>
      <c r="T25" s="169"/>
      <c r="U25" s="173">
        <f>T25-S25</f>
        <v>0</v>
      </c>
      <c r="V25" s="169"/>
      <c r="W25" s="169"/>
      <c r="X25" s="172">
        <f>W25-V25</f>
        <v>0</v>
      </c>
      <c r="Y25" s="169"/>
      <c r="Z25" s="169"/>
      <c r="AA25" s="172">
        <f>Z25-Y25</f>
        <v>0</v>
      </c>
      <c r="AB25" s="103">
        <v>180000</v>
      </c>
      <c r="AC25" s="103">
        <v>180000</v>
      </c>
      <c r="AD25" s="103">
        <f>AC25-AB25</f>
        <v>0</v>
      </c>
      <c r="AE25" s="103">
        <f>SUM(J25,M25,P25,S25,V25,Y25)+AB25</f>
        <v>180000</v>
      </c>
      <c r="AF25" s="103">
        <f>SUM(K25,N25,Q25,T25,W25,Z25)+AC25</f>
        <v>180000</v>
      </c>
      <c r="AG25" s="103">
        <f>AF25-AE25</f>
        <v>0</v>
      </c>
      <c r="AH25" s="174"/>
    </row>
    <row r="26" spans="1:42" s="295" customFormat="1" ht="18.600000000000001" hidden="1" customHeight="1" x14ac:dyDescent="0.25">
      <c r="A26" s="282">
        <v>2</v>
      </c>
      <c r="B26" s="283" t="s">
        <v>145</v>
      </c>
      <c r="C26" s="285" t="s">
        <v>146</v>
      </c>
      <c r="D26" s="286" t="s">
        <v>147</v>
      </c>
      <c r="E26" s="287"/>
      <c r="F26" s="288" t="s">
        <v>36</v>
      </c>
      <c r="G26" s="289" t="s">
        <v>74</v>
      </c>
      <c r="H26" s="290" t="s">
        <v>148</v>
      </c>
      <c r="I26" s="289" t="s">
        <v>149</v>
      </c>
      <c r="J26" s="286"/>
      <c r="K26" s="286"/>
      <c r="L26" s="291">
        <f t="shared" si="0"/>
        <v>0</v>
      </c>
      <c r="M26" s="284"/>
      <c r="N26" s="286"/>
      <c r="O26" s="291">
        <f t="shared" ref="O26:O37" si="21">N26-M26</f>
        <v>0</v>
      </c>
      <c r="P26" s="286"/>
      <c r="Q26" s="286"/>
      <c r="R26" s="292">
        <f t="shared" ref="R26:R35" si="22">Q26-P26</f>
        <v>0</v>
      </c>
      <c r="S26" s="286"/>
      <c r="T26" s="286"/>
      <c r="U26" s="291">
        <f t="shared" ref="U26:U46" si="23">T26-S26</f>
        <v>0</v>
      </c>
      <c r="V26" s="286"/>
      <c r="W26" s="286"/>
      <c r="X26" s="292">
        <f t="shared" ref="X26:X35" si="24">W26-V26</f>
        <v>0</v>
      </c>
      <c r="Y26" s="286"/>
      <c r="Z26" s="286"/>
      <c r="AA26" s="291">
        <f t="shared" ref="AA26:AA35" si="25">Z26-Y26</f>
        <v>0</v>
      </c>
      <c r="AB26" s="293">
        <v>65000</v>
      </c>
      <c r="AC26" s="177">
        <v>50000</v>
      </c>
      <c r="AD26" s="177">
        <f t="shared" ref="AD26:AD35" si="26">AC26-AB26</f>
        <v>-15000</v>
      </c>
      <c r="AE26" s="177">
        <f t="shared" ref="AE26:AF35" si="27">SUM(J26,M26,P26,S26,V26,Y26)+AB26</f>
        <v>65000</v>
      </c>
      <c r="AF26" s="177">
        <f t="shared" si="27"/>
        <v>50000</v>
      </c>
      <c r="AG26" s="177">
        <f t="shared" ref="AG26:AG35" si="28">AF26-AE26</f>
        <v>-15000</v>
      </c>
      <c r="AH26" s="294" t="s">
        <v>150</v>
      </c>
    </row>
    <row r="27" spans="1:42" s="136" customFormat="1" ht="18.600000000000001" hidden="1" customHeight="1" x14ac:dyDescent="0.25">
      <c r="A27" s="30">
        <v>3</v>
      </c>
      <c r="B27" s="31" t="s">
        <v>151</v>
      </c>
      <c r="C27" s="179" t="s">
        <v>152</v>
      </c>
      <c r="D27" s="34" t="s">
        <v>153</v>
      </c>
      <c r="E27" s="69" t="s">
        <v>53</v>
      </c>
      <c r="F27" s="35" t="s">
        <v>36</v>
      </c>
      <c r="G27" s="36" t="s">
        <v>79</v>
      </c>
      <c r="H27" s="37" t="s">
        <v>154</v>
      </c>
      <c r="I27" s="36" t="s">
        <v>39</v>
      </c>
      <c r="J27" s="34"/>
      <c r="K27" s="34"/>
      <c r="L27" s="181">
        <f t="shared" si="0"/>
        <v>0</v>
      </c>
      <c r="M27" s="33"/>
      <c r="N27" s="34"/>
      <c r="O27" s="181">
        <f t="shared" si="21"/>
        <v>0</v>
      </c>
      <c r="P27" s="34"/>
      <c r="Q27" s="34"/>
      <c r="R27" s="296">
        <f t="shared" si="22"/>
        <v>0</v>
      </c>
      <c r="S27" s="34"/>
      <c r="T27" s="34"/>
      <c r="U27" s="181">
        <f t="shared" si="23"/>
        <v>0</v>
      </c>
      <c r="V27" s="34"/>
      <c r="W27" s="34"/>
      <c r="X27" s="296">
        <f t="shared" si="24"/>
        <v>0</v>
      </c>
      <c r="Y27" s="34"/>
      <c r="Z27" s="34"/>
      <c r="AA27" s="181">
        <f t="shared" si="25"/>
        <v>0</v>
      </c>
      <c r="AB27" s="297">
        <v>22050</v>
      </c>
      <c r="AC27" s="40">
        <v>22050</v>
      </c>
      <c r="AD27" s="40">
        <f t="shared" si="26"/>
        <v>0</v>
      </c>
      <c r="AE27" s="40">
        <f t="shared" si="27"/>
        <v>22050</v>
      </c>
      <c r="AF27" s="40">
        <f t="shared" si="27"/>
        <v>22050</v>
      </c>
      <c r="AG27" s="40">
        <f t="shared" si="28"/>
        <v>0</v>
      </c>
      <c r="AH27" s="180"/>
    </row>
    <row r="28" spans="1:42" s="136" customFormat="1" ht="18.600000000000001" hidden="1" customHeight="1" x14ac:dyDescent="0.25">
      <c r="A28" s="30">
        <v>4</v>
      </c>
      <c r="B28" s="31" t="s">
        <v>155</v>
      </c>
      <c r="C28" s="179" t="s">
        <v>156</v>
      </c>
      <c r="D28" s="34" t="s">
        <v>157</v>
      </c>
      <c r="E28" s="33" t="s">
        <v>43</v>
      </c>
      <c r="F28" s="176" t="s">
        <v>36</v>
      </c>
      <c r="G28" s="36" t="s">
        <v>158</v>
      </c>
      <c r="H28" s="36" t="s">
        <v>159</v>
      </c>
      <c r="I28" s="38" t="s">
        <v>32</v>
      </c>
      <c r="J28" s="70"/>
      <c r="K28" s="34"/>
      <c r="L28" s="39">
        <f t="shared" si="0"/>
        <v>0</v>
      </c>
      <c r="M28" s="27">
        <v>2205</v>
      </c>
      <c r="N28" s="40">
        <v>2205</v>
      </c>
      <c r="O28" s="39">
        <f t="shared" si="21"/>
        <v>0</v>
      </c>
      <c r="P28" s="70"/>
      <c r="Q28" s="34"/>
      <c r="R28" s="169">
        <f t="shared" si="22"/>
        <v>0</v>
      </c>
      <c r="S28" s="70"/>
      <c r="T28" s="34"/>
      <c r="U28" s="39">
        <f t="shared" si="23"/>
        <v>0</v>
      </c>
      <c r="V28" s="70"/>
      <c r="W28" s="34"/>
      <c r="X28" s="169">
        <f t="shared" si="24"/>
        <v>0</v>
      </c>
      <c r="Y28" s="34"/>
      <c r="Z28" s="34"/>
      <c r="AA28" s="39">
        <f t="shared" si="25"/>
        <v>0</v>
      </c>
      <c r="AB28" s="103">
        <v>31500</v>
      </c>
      <c r="AC28" s="40">
        <v>31500</v>
      </c>
      <c r="AD28" s="27">
        <f t="shared" si="26"/>
        <v>0</v>
      </c>
      <c r="AE28" s="27">
        <f t="shared" si="27"/>
        <v>33705</v>
      </c>
      <c r="AF28" s="27">
        <f t="shared" si="27"/>
        <v>33705</v>
      </c>
      <c r="AG28" s="27">
        <f t="shared" si="28"/>
        <v>0</v>
      </c>
      <c r="AH28" s="180"/>
      <c r="AI28" s="29"/>
      <c r="AJ28" s="29"/>
      <c r="AK28" s="29"/>
      <c r="AL28" s="29"/>
      <c r="AM28" s="29"/>
      <c r="AN28" s="29"/>
      <c r="AO28" s="29"/>
      <c r="AP28" s="29"/>
    </row>
    <row r="29" spans="1:42" s="136" customFormat="1" ht="18.600000000000001" hidden="1" customHeight="1" x14ac:dyDescent="0.25">
      <c r="A29" s="30">
        <v>5</v>
      </c>
      <c r="B29" s="31" t="s">
        <v>160</v>
      </c>
      <c r="C29" s="179" t="s">
        <v>161</v>
      </c>
      <c r="D29" s="34" t="s">
        <v>162</v>
      </c>
      <c r="E29" s="33" t="s">
        <v>130</v>
      </c>
      <c r="F29" s="176" t="s">
        <v>36</v>
      </c>
      <c r="G29" s="36" t="s">
        <v>37</v>
      </c>
      <c r="H29" s="37" t="s">
        <v>163</v>
      </c>
      <c r="I29" s="38" t="s">
        <v>39</v>
      </c>
      <c r="J29" s="70"/>
      <c r="K29" s="34"/>
      <c r="L29" s="39">
        <f t="shared" si="0"/>
        <v>0</v>
      </c>
      <c r="M29" s="39">
        <v>500</v>
      </c>
      <c r="N29" s="181">
        <v>500</v>
      </c>
      <c r="O29" s="39">
        <f t="shared" si="21"/>
        <v>0</v>
      </c>
      <c r="P29" s="70"/>
      <c r="Q29" s="34"/>
      <c r="R29" s="169">
        <f t="shared" si="22"/>
        <v>0</v>
      </c>
      <c r="S29" s="70"/>
      <c r="T29" s="34"/>
      <c r="U29" s="39">
        <f t="shared" si="23"/>
        <v>0</v>
      </c>
      <c r="V29" s="70"/>
      <c r="W29" s="34"/>
      <c r="X29" s="169">
        <f t="shared" si="24"/>
        <v>0</v>
      </c>
      <c r="Y29" s="34"/>
      <c r="Z29" s="34"/>
      <c r="AA29" s="39">
        <f t="shared" si="25"/>
        <v>0</v>
      </c>
      <c r="AB29" s="103">
        <v>20000</v>
      </c>
      <c r="AC29" s="40">
        <v>20000</v>
      </c>
      <c r="AD29" s="27">
        <f t="shared" si="26"/>
        <v>0</v>
      </c>
      <c r="AE29" s="27">
        <f t="shared" si="27"/>
        <v>20500</v>
      </c>
      <c r="AF29" s="27">
        <f t="shared" si="27"/>
        <v>20500</v>
      </c>
      <c r="AG29" s="27">
        <f t="shared" si="28"/>
        <v>0</v>
      </c>
      <c r="AH29" s="180"/>
      <c r="AI29" s="29"/>
      <c r="AJ29" s="29"/>
      <c r="AK29" s="29"/>
      <c r="AL29" s="29"/>
      <c r="AM29" s="29"/>
      <c r="AN29" s="29"/>
      <c r="AO29" s="29"/>
      <c r="AP29" s="29"/>
    </row>
    <row r="30" spans="1:42" s="58" customFormat="1" ht="18.600000000000001" hidden="1" customHeight="1" x14ac:dyDescent="0.25">
      <c r="A30" s="182">
        <v>6</v>
      </c>
      <c r="B30" s="48" t="s">
        <v>164</v>
      </c>
      <c r="C30" s="175" t="s">
        <v>165</v>
      </c>
      <c r="D30" s="50" t="s">
        <v>166</v>
      </c>
      <c r="E30" s="183"/>
      <c r="F30" s="176" t="s">
        <v>36</v>
      </c>
      <c r="G30" s="52" t="s">
        <v>30</v>
      </c>
      <c r="H30" s="53" t="s">
        <v>167</v>
      </c>
      <c r="I30" s="38" t="s">
        <v>32</v>
      </c>
      <c r="J30" s="70"/>
      <c r="K30" s="50"/>
      <c r="L30" s="39">
        <f t="shared" si="0"/>
        <v>0</v>
      </c>
      <c r="M30" s="39">
        <v>4000</v>
      </c>
      <c r="N30" s="39">
        <v>4000</v>
      </c>
      <c r="O30" s="39">
        <f t="shared" si="21"/>
        <v>0</v>
      </c>
      <c r="P30" s="27">
        <v>2389.15</v>
      </c>
      <c r="Q30" s="56">
        <v>2500</v>
      </c>
      <c r="R30" s="184">
        <f t="shared" si="22"/>
        <v>110.84999999999991</v>
      </c>
      <c r="S30" s="39">
        <v>1000</v>
      </c>
      <c r="T30" s="39">
        <v>1000</v>
      </c>
      <c r="U30" s="39">
        <f t="shared" si="23"/>
        <v>0</v>
      </c>
      <c r="V30" s="70"/>
      <c r="W30" s="50"/>
      <c r="X30" s="169">
        <f t="shared" si="24"/>
        <v>0</v>
      </c>
      <c r="Y30" s="50"/>
      <c r="Z30" s="50"/>
      <c r="AA30" s="39">
        <f t="shared" si="25"/>
        <v>0</v>
      </c>
      <c r="AB30" s="103">
        <v>27783</v>
      </c>
      <c r="AC30" s="56">
        <v>28000</v>
      </c>
      <c r="AD30" s="56">
        <f t="shared" si="26"/>
        <v>217</v>
      </c>
      <c r="AE30" s="27">
        <f t="shared" si="27"/>
        <v>35172.15</v>
      </c>
      <c r="AF30" s="27">
        <f t="shared" si="27"/>
        <v>35500</v>
      </c>
      <c r="AG30" s="56">
        <f t="shared" si="28"/>
        <v>327.84999999999854</v>
      </c>
      <c r="AH30" s="76"/>
      <c r="AI30" s="29"/>
      <c r="AJ30" s="29"/>
      <c r="AK30" s="29"/>
      <c r="AL30" s="29"/>
      <c r="AM30" s="29"/>
      <c r="AN30" s="29"/>
      <c r="AO30" s="29"/>
      <c r="AP30" s="29"/>
    </row>
    <row r="31" spans="1:42" s="29" customFormat="1" ht="18.600000000000001" hidden="1" customHeight="1" x14ac:dyDescent="0.25">
      <c r="A31" s="105">
        <v>7</v>
      </c>
      <c r="B31" s="143" t="s">
        <v>168</v>
      </c>
      <c r="C31" s="178" t="s">
        <v>169</v>
      </c>
      <c r="D31" s="70" t="s">
        <v>170</v>
      </c>
      <c r="E31" s="183"/>
      <c r="F31" s="176" t="s">
        <v>36</v>
      </c>
      <c r="G31" s="38" t="s">
        <v>30</v>
      </c>
      <c r="H31" s="38" t="s">
        <v>171</v>
      </c>
      <c r="I31" s="38" t="s">
        <v>39</v>
      </c>
      <c r="J31" s="70"/>
      <c r="K31" s="70"/>
      <c r="L31" s="39">
        <f t="shared" si="0"/>
        <v>0</v>
      </c>
      <c r="M31" s="32"/>
      <c r="N31" s="70"/>
      <c r="O31" s="39">
        <f t="shared" si="21"/>
        <v>0</v>
      </c>
      <c r="P31" s="39">
        <v>1000</v>
      </c>
      <c r="Q31" s="39">
        <v>1000</v>
      </c>
      <c r="R31" s="169">
        <f t="shared" si="22"/>
        <v>0</v>
      </c>
      <c r="S31" s="70"/>
      <c r="T31" s="70"/>
      <c r="U31" s="39">
        <f t="shared" si="23"/>
        <v>0</v>
      </c>
      <c r="V31" s="70"/>
      <c r="W31" s="70"/>
      <c r="X31" s="169">
        <f t="shared" si="24"/>
        <v>0</v>
      </c>
      <c r="Y31" s="70"/>
      <c r="Z31" s="70"/>
      <c r="AA31" s="39">
        <f t="shared" si="25"/>
        <v>0</v>
      </c>
      <c r="AB31" s="103">
        <v>27037.5</v>
      </c>
      <c r="AC31" s="27">
        <v>27037.5</v>
      </c>
      <c r="AD31" s="27">
        <f t="shared" si="26"/>
        <v>0</v>
      </c>
      <c r="AE31" s="27">
        <f t="shared" si="27"/>
        <v>28037.5</v>
      </c>
      <c r="AF31" s="27">
        <f t="shared" si="27"/>
        <v>28037.5</v>
      </c>
      <c r="AG31" s="27">
        <f t="shared" si="28"/>
        <v>0</v>
      </c>
      <c r="AH31" s="146"/>
    </row>
    <row r="32" spans="1:42" s="58" customFormat="1" ht="18.600000000000001" hidden="1" customHeight="1" x14ac:dyDescent="0.25">
      <c r="A32" s="47">
        <v>8</v>
      </c>
      <c r="B32" s="48" t="s">
        <v>172</v>
      </c>
      <c r="C32" s="175" t="s">
        <v>173</v>
      </c>
      <c r="D32" s="50" t="s">
        <v>174</v>
      </c>
      <c r="E32" s="183"/>
      <c r="F32" s="51" t="s">
        <v>36</v>
      </c>
      <c r="G32" s="52" t="s">
        <v>48</v>
      </c>
      <c r="H32" s="185" t="s">
        <v>175</v>
      </c>
      <c r="I32" s="78" t="s">
        <v>39</v>
      </c>
      <c r="J32" s="70"/>
      <c r="K32" s="50"/>
      <c r="L32" s="39">
        <f t="shared" si="0"/>
        <v>0</v>
      </c>
      <c r="M32" s="32"/>
      <c r="N32" s="55">
        <v>2000</v>
      </c>
      <c r="O32" s="55">
        <f t="shared" si="21"/>
        <v>2000</v>
      </c>
      <c r="P32" s="70"/>
      <c r="Q32" s="55">
        <v>1000</v>
      </c>
      <c r="R32" s="55">
        <f t="shared" si="22"/>
        <v>1000</v>
      </c>
      <c r="S32" s="70"/>
      <c r="T32" s="50"/>
      <c r="U32" s="39">
        <f t="shared" si="23"/>
        <v>0</v>
      </c>
      <c r="V32" s="70"/>
      <c r="W32" s="50"/>
      <c r="X32" s="169">
        <f t="shared" si="24"/>
        <v>0</v>
      </c>
      <c r="Y32" s="50"/>
      <c r="Z32" s="50"/>
      <c r="AA32" s="39">
        <f t="shared" si="25"/>
        <v>0</v>
      </c>
      <c r="AB32" s="103">
        <v>15750</v>
      </c>
      <c r="AC32" s="56">
        <v>15750</v>
      </c>
      <c r="AD32" s="27">
        <f t="shared" si="26"/>
        <v>0</v>
      </c>
      <c r="AE32" s="27">
        <f t="shared" si="27"/>
        <v>15750</v>
      </c>
      <c r="AF32" s="27">
        <f t="shared" si="27"/>
        <v>18750</v>
      </c>
      <c r="AG32" s="56">
        <f t="shared" si="28"/>
        <v>3000</v>
      </c>
      <c r="AH32" s="76"/>
      <c r="AI32" s="29"/>
      <c r="AJ32" s="29"/>
      <c r="AK32" s="29"/>
      <c r="AL32" s="29"/>
      <c r="AM32" s="29"/>
      <c r="AN32" s="29"/>
      <c r="AO32" s="29"/>
      <c r="AP32" s="29"/>
    </row>
    <row r="33" spans="1:90" s="187" customFormat="1" ht="18.600000000000001" hidden="1" customHeight="1" x14ac:dyDescent="0.25">
      <c r="A33" s="105">
        <v>9</v>
      </c>
      <c r="B33" s="143" t="s">
        <v>176</v>
      </c>
      <c r="C33" s="178" t="s">
        <v>177</v>
      </c>
      <c r="D33" s="70" t="s">
        <v>178</v>
      </c>
      <c r="E33" s="183"/>
      <c r="F33" s="51" t="s">
        <v>36</v>
      </c>
      <c r="G33" s="38" t="s">
        <v>179</v>
      </c>
      <c r="H33" s="78" t="s">
        <v>180</v>
      </c>
      <c r="I33" s="78" t="s">
        <v>69</v>
      </c>
      <c r="J33" s="39">
        <v>1000</v>
      </c>
      <c r="K33" s="39">
        <v>1000</v>
      </c>
      <c r="L33" s="39">
        <f t="shared" si="0"/>
        <v>0</v>
      </c>
      <c r="M33" s="39">
        <v>5000</v>
      </c>
      <c r="N33" s="39">
        <v>5000</v>
      </c>
      <c r="O33" s="39">
        <f t="shared" si="21"/>
        <v>0</v>
      </c>
      <c r="P33" s="39"/>
      <c r="Q33" s="39"/>
      <c r="R33" s="169">
        <f t="shared" si="22"/>
        <v>0</v>
      </c>
      <c r="S33" s="39"/>
      <c r="T33" s="39"/>
      <c r="U33" s="39">
        <f t="shared" si="23"/>
        <v>0</v>
      </c>
      <c r="V33" s="39">
        <v>1000</v>
      </c>
      <c r="W33" s="39">
        <v>1000</v>
      </c>
      <c r="X33" s="169">
        <f t="shared" si="24"/>
        <v>0</v>
      </c>
      <c r="Y33" s="39"/>
      <c r="Z33" s="39"/>
      <c r="AA33" s="39">
        <f t="shared" si="25"/>
        <v>0</v>
      </c>
      <c r="AB33" s="103">
        <v>26000</v>
      </c>
      <c r="AC33" s="27">
        <v>26000</v>
      </c>
      <c r="AD33" s="27">
        <f t="shared" si="26"/>
        <v>0</v>
      </c>
      <c r="AE33" s="27">
        <f t="shared" si="27"/>
        <v>33000</v>
      </c>
      <c r="AF33" s="27">
        <f t="shared" si="27"/>
        <v>33000</v>
      </c>
      <c r="AG33" s="27">
        <f t="shared" si="28"/>
        <v>0</v>
      </c>
      <c r="AH33" s="14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</row>
    <row r="34" spans="1:90" s="190" customFormat="1" ht="18.600000000000001" hidden="1" customHeight="1" x14ac:dyDescent="0.25">
      <c r="A34" s="47">
        <v>10</v>
      </c>
      <c r="B34" s="48" t="s">
        <v>181</v>
      </c>
      <c r="C34" s="175" t="s">
        <v>182</v>
      </c>
      <c r="D34" s="50" t="s">
        <v>183</v>
      </c>
      <c r="E34" s="183"/>
      <c r="F34" s="51" t="s">
        <v>36</v>
      </c>
      <c r="G34" s="52" t="s">
        <v>179</v>
      </c>
      <c r="H34" s="53" t="s">
        <v>184</v>
      </c>
      <c r="I34" s="38" t="s">
        <v>39</v>
      </c>
      <c r="J34" s="39"/>
      <c r="K34" s="55"/>
      <c r="L34" s="39">
        <f t="shared" si="0"/>
        <v>0</v>
      </c>
      <c r="M34" s="39"/>
      <c r="N34" s="55">
        <v>1000</v>
      </c>
      <c r="O34" s="55">
        <f t="shared" si="21"/>
        <v>1000</v>
      </c>
      <c r="P34" s="55"/>
      <c r="Q34" s="55"/>
      <c r="R34" s="169">
        <f t="shared" si="22"/>
        <v>0</v>
      </c>
      <c r="S34" s="39"/>
      <c r="T34" s="55"/>
      <c r="U34" s="39">
        <f t="shared" si="23"/>
        <v>0</v>
      </c>
      <c r="V34" s="39"/>
      <c r="W34" s="55"/>
      <c r="X34" s="169">
        <f t="shared" si="24"/>
        <v>0</v>
      </c>
      <c r="Y34" s="55"/>
      <c r="Z34" s="55"/>
      <c r="AA34" s="39">
        <f t="shared" si="25"/>
        <v>0</v>
      </c>
      <c r="AB34" s="103">
        <v>13000</v>
      </c>
      <c r="AC34" s="56">
        <v>14000</v>
      </c>
      <c r="AD34" s="56">
        <f t="shared" si="26"/>
        <v>1000</v>
      </c>
      <c r="AE34" s="27">
        <f t="shared" si="27"/>
        <v>13000</v>
      </c>
      <c r="AF34" s="27">
        <f t="shared" si="27"/>
        <v>15000</v>
      </c>
      <c r="AG34" s="56">
        <f t="shared" si="28"/>
        <v>2000</v>
      </c>
      <c r="AH34" s="76"/>
      <c r="AI34" s="188"/>
      <c r="AJ34" s="188"/>
      <c r="AK34" s="188"/>
      <c r="AL34" s="188"/>
      <c r="AM34" s="188"/>
      <c r="AN34" s="188"/>
      <c r="AO34" s="188"/>
      <c r="AP34" s="188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89"/>
      <c r="BG34" s="189"/>
      <c r="BH34" s="189"/>
      <c r="BI34" s="189"/>
      <c r="BJ34" s="189"/>
      <c r="BK34" s="189"/>
      <c r="BL34" s="189"/>
      <c r="BM34" s="189"/>
      <c r="BN34" s="189"/>
      <c r="BO34" s="189"/>
      <c r="BP34" s="189"/>
      <c r="BQ34" s="189"/>
      <c r="BR34" s="189"/>
      <c r="BS34" s="189"/>
      <c r="BT34" s="189"/>
      <c r="BU34" s="189"/>
      <c r="BV34" s="189"/>
      <c r="BW34" s="189"/>
      <c r="BX34" s="189"/>
      <c r="BY34" s="189"/>
      <c r="BZ34" s="189"/>
      <c r="CA34" s="189"/>
      <c r="CB34" s="189"/>
      <c r="CC34" s="189"/>
      <c r="CD34" s="189"/>
      <c r="CE34" s="189"/>
      <c r="CF34" s="189"/>
      <c r="CG34" s="189"/>
      <c r="CH34" s="189"/>
      <c r="CI34" s="189"/>
      <c r="CJ34" s="189"/>
      <c r="CK34" s="189"/>
      <c r="CL34" s="189"/>
    </row>
    <row r="35" spans="1:90" s="300" customFormat="1" ht="18.600000000000001" hidden="1" customHeight="1" thickBot="1" x14ac:dyDescent="0.3">
      <c r="A35" s="265">
        <v>11</v>
      </c>
      <c r="B35" s="266" t="s">
        <v>185</v>
      </c>
      <c r="C35" s="298" t="s">
        <v>186</v>
      </c>
      <c r="D35" s="268" t="s">
        <v>166</v>
      </c>
      <c r="E35" s="191" t="s">
        <v>29</v>
      </c>
      <c r="F35" s="267" t="s">
        <v>36</v>
      </c>
      <c r="G35" s="269" t="s">
        <v>179</v>
      </c>
      <c r="H35" s="270" t="s">
        <v>187</v>
      </c>
      <c r="I35" s="270"/>
      <c r="J35" s="270"/>
      <c r="K35" s="271"/>
      <c r="L35" s="271">
        <f t="shared" si="0"/>
        <v>0</v>
      </c>
      <c r="M35" s="271"/>
      <c r="N35" s="271"/>
      <c r="O35" s="271">
        <f t="shared" si="21"/>
        <v>0</v>
      </c>
      <c r="P35" s="271"/>
      <c r="Q35" s="271"/>
      <c r="R35" s="268">
        <f t="shared" si="22"/>
        <v>0</v>
      </c>
      <c r="S35" s="271"/>
      <c r="T35" s="271"/>
      <c r="U35" s="271">
        <f t="shared" si="23"/>
        <v>0</v>
      </c>
      <c r="V35" s="271"/>
      <c r="W35" s="271"/>
      <c r="X35" s="268">
        <f t="shared" si="24"/>
        <v>0</v>
      </c>
      <c r="Y35" s="271"/>
      <c r="Z35" s="271"/>
      <c r="AA35" s="271">
        <f t="shared" si="25"/>
        <v>0</v>
      </c>
      <c r="AB35" s="275">
        <v>16000</v>
      </c>
      <c r="AC35" s="275">
        <v>16000</v>
      </c>
      <c r="AD35" s="275">
        <f t="shared" si="26"/>
        <v>0</v>
      </c>
      <c r="AE35" s="275">
        <f t="shared" si="27"/>
        <v>16000</v>
      </c>
      <c r="AF35" s="275">
        <f t="shared" si="27"/>
        <v>16000</v>
      </c>
      <c r="AG35" s="275">
        <f t="shared" si="28"/>
        <v>0</v>
      </c>
      <c r="AH35" s="276" t="s">
        <v>140</v>
      </c>
      <c r="AI35" s="299"/>
      <c r="AJ35" s="299"/>
      <c r="AK35" s="299"/>
      <c r="AL35" s="299"/>
      <c r="AM35" s="299"/>
      <c r="AN35" s="299"/>
      <c r="AO35" s="299"/>
      <c r="AP35" s="299"/>
      <c r="AQ35" s="299"/>
      <c r="AR35" s="299"/>
      <c r="AS35" s="299"/>
      <c r="AT35" s="299"/>
      <c r="AU35" s="299"/>
      <c r="AV35" s="299"/>
      <c r="AW35" s="299"/>
      <c r="AX35" s="299"/>
      <c r="AY35" s="299"/>
      <c r="AZ35" s="299"/>
      <c r="BA35" s="299"/>
      <c r="BB35" s="299"/>
      <c r="BC35" s="299"/>
      <c r="BD35" s="299"/>
      <c r="BE35" s="299"/>
      <c r="BF35" s="299"/>
      <c r="BG35" s="299"/>
      <c r="BH35" s="299"/>
      <c r="BI35" s="299"/>
      <c r="BJ35" s="299"/>
      <c r="BK35" s="299"/>
      <c r="BL35" s="299"/>
      <c r="BM35" s="299"/>
      <c r="BN35" s="299"/>
      <c r="BO35" s="299"/>
      <c r="BP35" s="299"/>
      <c r="BQ35" s="299"/>
      <c r="BR35" s="299"/>
      <c r="BS35" s="299"/>
      <c r="BT35" s="299"/>
      <c r="BU35" s="299"/>
      <c r="BV35" s="299"/>
      <c r="BW35" s="299"/>
      <c r="BX35" s="299"/>
      <c r="BY35" s="299"/>
      <c r="BZ35" s="299"/>
      <c r="CA35" s="299"/>
      <c r="CB35" s="299"/>
      <c r="CC35" s="299"/>
      <c r="CD35" s="299"/>
      <c r="CE35" s="299"/>
      <c r="CF35" s="299"/>
      <c r="CG35" s="299"/>
      <c r="CH35" s="299"/>
      <c r="CI35" s="299"/>
      <c r="CJ35" s="299"/>
      <c r="CK35" s="299"/>
      <c r="CL35" s="299"/>
    </row>
    <row r="36" spans="1:90" s="29" customFormat="1" ht="18.600000000000001" hidden="1" customHeight="1" x14ac:dyDescent="0.25">
      <c r="A36" s="150">
        <v>1</v>
      </c>
      <c r="B36" s="166" t="s">
        <v>188</v>
      </c>
      <c r="C36" s="167" t="s">
        <v>189</v>
      </c>
      <c r="D36" s="169" t="s">
        <v>190</v>
      </c>
      <c r="E36" s="192"/>
      <c r="F36" s="193" t="s">
        <v>43</v>
      </c>
      <c r="G36" s="152" t="s">
        <v>74</v>
      </c>
      <c r="H36" s="152" t="s">
        <v>191</v>
      </c>
      <c r="I36" s="152" t="s">
        <v>119</v>
      </c>
      <c r="J36" s="152"/>
      <c r="K36" s="166"/>
      <c r="L36" s="172">
        <f t="shared" si="0"/>
        <v>0</v>
      </c>
      <c r="M36" s="167"/>
      <c r="N36" s="167"/>
      <c r="O36" s="172">
        <f t="shared" si="21"/>
        <v>0</v>
      </c>
      <c r="P36" s="169"/>
      <c r="Q36" s="169"/>
      <c r="R36" s="172">
        <f>Q36-P36</f>
        <v>0</v>
      </c>
      <c r="S36" s="169"/>
      <c r="T36" s="169"/>
      <c r="U36" s="194">
        <f t="shared" si="23"/>
        <v>0</v>
      </c>
      <c r="V36" s="169"/>
      <c r="W36" s="169"/>
      <c r="X36" s="194">
        <f>W36-V36</f>
        <v>0</v>
      </c>
      <c r="Y36" s="169"/>
      <c r="Z36" s="169"/>
      <c r="AA36" s="194">
        <f>Z36-Y36</f>
        <v>0</v>
      </c>
      <c r="AB36" s="103">
        <v>120000</v>
      </c>
      <c r="AC36" s="103">
        <v>120000</v>
      </c>
      <c r="AD36" s="103">
        <f>AC36-AB36</f>
        <v>0</v>
      </c>
      <c r="AE36" s="103">
        <f>SUM(J36,M36,P36,S36,V36,Y36)+AB36</f>
        <v>120000</v>
      </c>
      <c r="AF36" s="103">
        <f>SUM(K36,N36,Q36,T36,W36,Z36)+AC36</f>
        <v>120000</v>
      </c>
      <c r="AG36" s="103">
        <f>AF36-AE36</f>
        <v>0</v>
      </c>
      <c r="AH36" s="195" t="s">
        <v>192</v>
      </c>
    </row>
    <row r="37" spans="1:90" s="203" customFormat="1" ht="18.600000000000001" hidden="1" customHeight="1" x14ac:dyDescent="0.25">
      <c r="A37" s="196">
        <v>2</v>
      </c>
      <c r="B37" s="197" t="s">
        <v>193</v>
      </c>
      <c r="C37" s="167" t="s">
        <v>194</v>
      </c>
      <c r="D37" s="169" t="s">
        <v>195</v>
      </c>
      <c r="E37" s="183"/>
      <c r="F37" s="193" t="s">
        <v>43</v>
      </c>
      <c r="G37" s="198" t="s">
        <v>196</v>
      </c>
      <c r="H37" s="198" t="s">
        <v>197</v>
      </c>
      <c r="I37" s="38" t="s">
        <v>32</v>
      </c>
      <c r="J37" s="38"/>
      <c r="K37" s="199"/>
      <c r="L37" s="39">
        <f t="shared" si="0"/>
        <v>0</v>
      </c>
      <c r="M37" s="32"/>
      <c r="N37" s="200"/>
      <c r="O37" s="39">
        <f t="shared" si="21"/>
        <v>0</v>
      </c>
      <c r="P37" s="70"/>
      <c r="Q37" s="201"/>
      <c r="R37" s="39">
        <f>Q37-P37</f>
        <v>0</v>
      </c>
      <c r="S37" s="201"/>
      <c r="T37" s="201"/>
      <c r="U37" s="55">
        <f t="shared" si="23"/>
        <v>0</v>
      </c>
      <c r="V37" s="201"/>
      <c r="W37" s="201"/>
      <c r="X37" s="55">
        <f>W37-V37</f>
        <v>0</v>
      </c>
      <c r="Y37" s="70"/>
      <c r="Z37" s="201"/>
      <c r="AA37" s="55">
        <f>Z37-Y37</f>
        <v>0</v>
      </c>
      <c r="AB37" s="27">
        <v>25000</v>
      </c>
      <c r="AC37" s="199">
        <v>25000</v>
      </c>
      <c r="AD37" s="27">
        <f t="shared" ref="AD37:AD46" si="29">AC37-AB37</f>
        <v>0</v>
      </c>
      <c r="AE37" s="27">
        <f t="shared" ref="AE37:AF46" si="30">SUM(J37,M37,P37,S37,V37,Y37)+AB37</f>
        <v>25000</v>
      </c>
      <c r="AF37" s="27">
        <f t="shared" si="30"/>
        <v>25000</v>
      </c>
      <c r="AG37" s="27">
        <f t="shared" ref="AG37:AG46" si="31">AF37-AE37</f>
        <v>0</v>
      </c>
      <c r="AH37" s="202"/>
      <c r="AI37" s="29"/>
      <c r="AJ37" s="29"/>
      <c r="AK37" s="29"/>
      <c r="AL37" s="29"/>
      <c r="AM37" s="29"/>
      <c r="AN37" s="29"/>
      <c r="AO37" s="29"/>
      <c r="AP37" s="29"/>
    </row>
    <row r="38" spans="1:90" s="214" customFormat="1" ht="18.600000000000001" hidden="1" customHeight="1" x14ac:dyDescent="0.25">
      <c r="A38" s="204">
        <v>3</v>
      </c>
      <c r="B38" s="205" t="s">
        <v>198</v>
      </c>
      <c r="C38" s="206" t="s">
        <v>199</v>
      </c>
      <c r="D38" s="184" t="s">
        <v>200</v>
      </c>
      <c r="E38" s="183"/>
      <c r="F38" s="193" t="s">
        <v>43</v>
      </c>
      <c r="G38" s="207" t="s">
        <v>196</v>
      </c>
      <c r="H38" s="207" t="s">
        <v>201</v>
      </c>
      <c r="I38" s="38" t="s">
        <v>39</v>
      </c>
      <c r="J38" s="38"/>
      <c r="K38" s="208"/>
      <c r="L38" s="39">
        <f t="shared" si="0"/>
        <v>0</v>
      </c>
      <c r="M38" s="39">
        <v>1000</v>
      </c>
      <c r="N38" s="209">
        <v>2000</v>
      </c>
      <c r="O38" s="55">
        <f>N38-M38</f>
        <v>1000</v>
      </c>
      <c r="P38" s="70"/>
      <c r="Q38" s="209">
        <v>2000</v>
      </c>
      <c r="R38" s="55">
        <f t="shared" ref="R38:R46" si="32">Q38-P38</f>
        <v>2000</v>
      </c>
      <c r="S38" s="209"/>
      <c r="T38" s="210"/>
      <c r="U38" s="55">
        <f t="shared" si="23"/>
        <v>0</v>
      </c>
      <c r="V38" s="210"/>
      <c r="W38" s="210"/>
      <c r="X38" s="55">
        <f t="shared" ref="X38:X46" si="33">W38-V38</f>
        <v>0</v>
      </c>
      <c r="Y38" s="70"/>
      <c r="Z38" s="210"/>
      <c r="AA38" s="55">
        <f t="shared" ref="AA38:AA46" si="34">Z38-Y38</f>
        <v>0</v>
      </c>
      <c r="AB38" s="211">
        <v>25000</v>
      </c>
      <c r="AC38" s="208">
        <v>26000</v>
      </c>
      <c r="AD38" s="56">
        <f t="shared" si="29"/>
        <v>1000</v>
      </c>
      <c r="AE38" s="27">
        <f t="shared" si="30"/>
        <v>26000</v>
      </c>
      <c r="AF38" s="27">
        <f t="shared" si="30"/>
        <v>30000</v>
      </c>
      <c r="AG38" s="56">
        <f t="shared" si="31"/>
        <v>4000</v>
      </c>
      <c r="AH38" s="212"/>
      <c r="AI38" s="29"/>
      <c r="AJ38" s="29"/>
      <c r="AK38" s="29"/>
      <c r="AL38" s="29"/>
      <c r="AM38" s="29"/>
      <c r="AN38" s="29"/>
      <c r="AO38" s="29"/>
      <c r="AP38" s="29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3"/>
      <c r="CF38" s="213"/>
      <c r="CG38" s="213"/>
      <c r="CH38" s="213"/>
      <c r="CI38" s="213"/>
      <c r="CJ38" s="213"/>
      <c r="CK38" s="213"/>
      <c r="CL38" s="213"/>
    </row>
    <row r="39" spans="1:90" s="203" customFormat="1" ht="18.600000000000001" hidden="1" customHeight="1" x14ac:dyDescent="0.25">
      <c r="A39" s="196">
        <v>4</v>
      </c>
      <c r="B39" s="197" t="s">
        <v>202</v>
      </c>
      <c r="C39" s="167" t="s">
        <v>203</v>
      </c>
      <c r="D39" s="169" t="s">
        <v>204</v>
      </c>
      <c r="E39" s="183"/>
      <c r="F39" s="193" t="s">
        <v>43</v>
      </c>
      <c r="G39" s="38" t="s">
        <v>74</v>
      </c>
      <c r="H39" s="198" t="s">
        <v>205</v>
      </c>
      <c r="I39" s="38" t="s">
        <v>119</v>
      </c>
      <c r="J39" s="38"/>
      <c r="K39" s="199"/>
      <c r="L39" s="39">
        <f t="shared" si="0"/>
        <v>0</v>
      </c>
      <c r="M39" s="32"/>
      <c r="N39" s="200"/>
      <c r="O39" s="39">
        <f t="shared" ref="O39:O46" si="35">N39-M39</f>
        <v>0</v>
      </c>
      <c r="P39" s="70"/>
      <c r="Q39" s="201"/>
      <c r="R39" s="39">
        <f t="shared" si="32"/>
        <v>0</v>
      </c>
      <c r="S39" s="201"/>
      <c r="T39" s="201"/>
      <c r="U39" s="55">
        <f t="shared" si="23"/>
        <v>0</v>
      </c>
      <c r="V39" s="201"/>
      <c r="W39" s="201"/>
      <c r="X39" s="55">
        <f t="shared" si="33"/>
        <v>0</v>
      </c>
      <c r="Y39" s="70"/>
      <c r="Z39" s="201"/>
      <c r="AA39" s="55">
        <f t="shared" si="34"/>
        <v>0</v>
      </c>
      <c r="AB39" s="27">
        <v>100000</v>
      </c>
      <c r="AC39" s="199">
        <v>100000</v>
      </c>
      <c r="AD39" s="27">
        <f t="shared" si="29"/>
        <v>0</v>
      </c>
      <c r="AE39" s="27">
        <f t="shared" si="30"/>
        <v>100000</v>
      </c>
      <c r="AF39" s="27">
        <f t="shared" si="30"/>
        <v>100000</v>
      </c>
      <c r="AG39" s="27">
        <f t="shared" si="31"/>
        <v>0</v>
      </c>
      <c r="AH39" s="202"/>
      <c r="AI39" s="29"/>
      <c r="AJ39" s="29"/>
      <c r="AK39" s="29"/>
      <c r="AL39" s="29"/>
      <c r="AM39" s="29"/>
      <c r="AN39" s="29"/>
      <c r="AO39" s="29"/>
      <c r="AP39" s="29"/>
    </row>
    <row r="40" spans="1:90" s="203" customFormat="1" ht="18.600000000000001" hidden="1" customHeight="1" x14ac:dyDescent="0.25">
      <c r="A40" s="215">
        <v>5</v>
      </c>
      <c r="B40" s="197" t="s">
        <v>206</v>
      </c>
      <c r="C40" s="167" t="s">
        <v>207</v>
      </c>
      <c r="D40" s="169" t="s">
        <v>208</v>
      </c>
      <c r="E40" s="201"/>
      <c r="F40" s="193" t="s">
        <v>43</v>
      </c>
      <c r="G40" s="198" t="s">
        <v>196</v>
      </c>
      <c r="H40" s="198" t="s">
        <v>201</v>
      </c>
      <c r="I40" s="38" t="s">
        <v>39</v>
      </c>
      <c r="J40" s="38"/>
      <c r="K40" s="199"/>
      <c r="L40" s="39">
        <f t="shared" si="0"/>
        <v>0</v>
      </c>
      <c r="M40" s="32"/>
      <c r="N40" s="200"/>
      <c r="O40" s="39">
        <f t="shared" si="35"/>
        <v>0</v>
      </c>
      <c r="P40" s="70"/>
      <c r="Q40" s="201"/>
      <c r="R40" s="39">
        <f t="shared" si="32"/>
        <v>0</v>
      </c>
      <c r="S40" s="201"/>
      <c r="T40" s="201"/>
      <c r="U40" s="55">
        <f t="shared" si="23"/>
        <v>0</v>
      </c>
      <c r="V40" s="201"/>
      <c r="W40" s="201"/>
      <c r="X40" s="55">
        <f t="shared" si="33"/>
        <v>0</v>
      </c>
      <c r="Y40" s="70"/>
      <c r="Z40" s="201"/>
      <c r="AA40" s="55">
        <f t="shared" si="34"/>
        <v>0</v>
      </c>
      <c r="AB40" s="27">
        <v>25000</v>
      </c>
      <c r="AC40" s="199">
        <v>25000</v>
      </c>
      <c r="AD40" s="27">
        <f t="shared" si="29"/>
        <v>0</v>
      </c>
      <c r="AE40" s="27">
        <f t="shared" si="30"/>
        <v>25000</v>
      </c>
      <c r="AF40" s="27">
        <f t="shared" si="30"/>
        <v>25000</v>
      </c>
      <c r="AG40" s="27">
        <f t="shared" si="31"/>
        <v>0</v>
      </c>
      <c r="AH40" s="202"/>
      <c r="AI40" s="29"/>
      <c r="AJ40" s="29"/>
      <c r="AK40" s="29"/>
      <c r="AL40" s="29"/>
      <c r="AM40" s="29"/>
      <c r="AN40" s="29"/>
      <c r="AO40" s="29"/>
      <c r="AP40" s="29"/>
    </row>
    <row r="41" spans="1:90" s="136" customFormat="1" ht="18.600000000000001" hidden="1" customHeight="1" x14ac:dyDescent="0.25">
      <c r="A41" s="30">
        <v>6</v>
      </c>
      <c r="B41" s="31" t="s">
        <v>209</v>
      </c>
      <c r="C41" s="301" t="s">
        <v>210</v>
      </c>
      <c r="D41" s="296" t="s">
        <v>211</v>
      </c>
      <c r="E41" s="216" t="s">
        <v>36</v>
      </c>
      <c r="F41" s="301" t="s">
        <v>43</v>
      </c>
      <c r="G41" s="36" t="s">
        <v>79</v>
      </c>
      <c r="H41" s="36" t="s">
        <v>212</v>
      </c>
      <c r="I41" s="36" t="s">
        <v>96</v>
      </c>
      <c r="J41" s="36"/>
      <c r="K41" s="34"/>
      <c r="L41" s="181">
        <f t="shared" si="0"/>
        <v>0</v>
      </c>
      <c r="M41" s="33"/>
      <c r="N41" s="33"/>
      <c r="O41" s="181">
        <f t="shared" si="35"/>
        <v>0</v>
      </c>
      <c r="P41" s="34"/>
      <c r="Q41" s="34"/>
      <c r="R41" s="181">
        <f t="shared" si="32"/>
        <v>0</v>
      </c>
      <c r="S41" s="34"/>
      <c r="T41" s="34"/>
      <c r="U41" s="181">
        <f t="shared" si="23"/>
        <v>0</v>
      </c>
      <c r="V41" s="34"/>
      <c r="W41" s="34"/>
      <c r="X41" s="181">
        <f t="shared" si="33"/>
        <v>0</v>
      </c>
      <c r="Y41" s="34"/>
      <c r="Z41" s="34"/>
      <c r="AA41" s="181">
        <f t="shared" si="34"/>
        <v>0</v>
      </c>
      <c r="AB41" s="40">
        <v>24000</v>
      </c>
      <c r="AC41" s="40">
        <v>24000</v>
      </c>
      <c r="AD41" s="40">
        <f t="shared" si="29"/>
        <v>0</v>
      </c>
      <c r="AE41" s="40">
        <f t="shared" si="30"/>
        <v>24000</v>
      </c>
      <c r="AF41" s="40">
        <f t="shared" si="30"/>
        <v>24000</v>
      </c>
      <c r="AG41" s="40">
        <f t="shared" si="31"/>
        <v>0</v>
      </c>
      <c r="AH41" s="180"/>
    </row>
    <row r="42" spans="1:90" s="29" customFormat="1" ht="18.600000000000001" hidden="1" customHeight="1" x14ac:dyDescent="0.25">
      <c r="A42" s="150">
        <v>7</v>
      </c>
      <c r="B42" s="143" t="s">
        <v>213</v>
      </c>
      <c r="C42" s="167" t="s">
        <v>214</v>
      </c>
      <c r="D42" s="169" t="s">
        <v>215</v>
      </c>
      <c r="E42" s="70"/>
      <c r="F42" s="193" t="s">
        <v>43</v>
      </c>
      <c r="G42" s="38" t="s">
        <v>94</v>
      </c>
      <c r="H42" s="38" t="s">
        <v>216</v>
      </c>
      <c r="I42" s="38" t="s">
        <v>39</v>
      </c>
      <c r="J42" s="38"/>
      <c r="K42" s="70"/>
      <c r="L42" s="39">
        <f t="shared" si="0"/>
        <v>0</v>
      </c>
      <c r="M42" s="32"/>
      <c r="N42" s="32"/>
      <c r="O42" s="39">
        <f t="shared" si="35"/>
        <v>0</v>
      </c>
      <c r="P42" s="70"/>
      <c r="Q42" s="70"/>
      <c r="R42" s="39">
        <f t="shared" si="32"/>
        <v>0</v>
      </c>
      <c r="S42" s="70"/>
      <c r="T42" s="70"/>
      <c r="U42" s="55">
        <f t="shared" si="23"/>
        <v>0</v>
      </c>
      <c r="V42" s="70"/>
      <c r="W42" s="70"/>
      <c r="X42" s="55">
        <f t="shared" si="33"/>
        <v>0</v>
      </c>
      <c r="Y42" s="39">
        <v>500</v>
      </c>
      <c r="Z42" s="39">
        <v>500</v>
      </c>
      <c r="AA42" s="55">
        <f t="shared" si="34"/>
        <v>0</v>
      </c>
      <c r="AB42" s="27">
        <v>12360</v>
      </c>
      <c r="AC42" s="27">
        <v>12360</v>
      </c>
      <c r="AD42" s="27">
        <f t="shared" si="29"/>
        <v>0</v>
      </c>
      <c r="AE42" s="27">
        <f t="shared" si="30"/>
        <v>12860</v>
      </c>
      <c r="AF42" s="27">
        <f t="shared" si="30"/>
        <v>12860</v>
      </c>
      <c r="AG42" s="27">
        <f t="shared" si="31"/>
        <v>0</v>
      </c>
      <c r="AH42" s="146"/>
    </row>
    <row r="43" spans="1:90" s="58" customFormat="1" ht="18.600000000000001" hidden="1" customHeight="1" x14ac:dyDescent="0.25">
      <c r="A43" s="47">
        <v>8</v>
      </c>
      <c r="B43" s="48" t="s">
        <v>217</v>
      </c>
      <c r="C43" s="206" t="s">
        <v>218</v>
      </c>
      <c r="D43" s="184" t="s">
        <v>219</v>
      </c>
      <c r="E43" s="50"/>
      <c r="F43" s="193" t="s">
        <v>43</v>
      </c>
      <c r="G43" s="52" t="s">
        <v>158</v>
      </c>
      <c r="H43" s="52" t="s">
        <v>220</v>
      </c>
      <c r="I43" s="38" t="s">
        <v>39</v>
      </c>
      <c r="J43" s="38"/>
      <c r="K43" s="50"/>
      <c r="L43" s="39">
        <f t="shared" si="0"/>
        <v>0</v>
      </c>
      <c r="M43" s="32"/>
      <c r="N43" s="49"/>
      <c r="O43" s="39">
        <f t="shared" si="35"/>
        <v>0</v>
      </c>
      <c r="P43" s="70"/>
      <c r="Q43" s="50"/>
      <c r="R43" s="39">
        <f t="shared" si="32"/>
        <v>0</v>
      </c>
      <c r="S43" s="50"/>
      <c r="T43" s="50"/>
      <c r="U43" s="55">
        <f t="shared" si="23"/>
        <v>0</v>
      </c>
      <c r="V43" s="50"/>
      <c r="W43" s="50"/>
      <c r="X43" s="55">
        <f t="shared" si="33"/>
        <v>0</v>
      </c>
      <c r="Y43" s="70"/>
      <c r="Z43" s="50"/>
      <c r="AA43" s="55">
        <f t="shared" si="34"/>
        <v>0</v>
      </c>
      <c r="AB43" s="211">
        <v>15000</v>
      </c>
      <c r="AC43" s="56">
        <v>16000</v>
      </c>
      <c r="AD43" s="56">
        <f t="shared" si="29"/>
        <v>1000</v>
      </c>
      <c r="AE43" s="27">
        <f t="shared" si="30"/>
        <v>15000</v>
      </c>
      <c r="AF43" s="27">
        <f t="shared" si="30"/>
        <v>16000</v>
      </c>
      <c r="AG43" s="56">
        <f t="shared" si="31"/>
        <v>1000</v>
      </c>
      <c r="AH43" s="76"/>
      <c r="AI43" s="29"/>
      <c r="AJ43" s="29"/>
      <c r="AK43" s="29"/>
      <c r="AL43" s="29"/>
      <c r="AM43" s="29"/>
      <c r="AN43" s="29"/>
      <c r="AO43" s="29"/>
      <c r="AP43" s="29"/>
    </row>
    <row r="44" spans="1:90" s="119" customFormat="1" ht="18.600000000000001" hidden="1" customHeight="1" x14ac:dyDescent="0.25">
      <c r="A44" s="150">
        <v>9</v>
      </c>
      <c r="B44" s="143" t="s">
        <v>221</v>
      </c>
      <c r="C44" s="167" t="s">
        <v>222</v>
      </c>
      <c r="D44" s="169" t="s">
        <v>223</v>
      </c>
      <c r="E44" s="70"/>
      <c r="F44" s="51" t="s">
        <v>43</v>
      </c>
      <c r="G44" s="38" t="s">
        <v>37</v>
      </c>
      <c r="H44" s="78" t="s">
        <v>224</v>
      </c>
      <c r="I44" s="38" t="s">
        <v>32</v>
      </c>
      <c r="J44" s="38"/>
      <c r="K44" s="70"/>
      <c r="L44" s="39">
        <f t="shared" si="0"/>
        <v>0</v>
      </c>
      <c r="M44" s="39">
        <v>1000</v>
      </c>
      <c r="N44" s="39">
        <v>1000</v>
      </c>
      <c r="O44" s="39">
        <f t="shared" si="35"/>
        <v>0</v>
      </c>
      <c r="P44" s="39">
        <v>1000</v>
      </c>
      <c r="Q44" s="39">
        <v>1000</v>
      </c>
      <c r="R44" s="39">
        <f t="shared" si="32"/>
        <v>0</v>
      </c>
      <c r="S44" s="39"/>
      <c r="T44" s="70"/>
      <c r="U44" s="55">
        <f t="shared" si="23"/>
        <v>0</v>
      </c>
      <c r="V44" s="70"/>
      <c r="W44" s="70"/>
      <c r="X44" s="55">
        <f t="shared" si="33"/>
        <v>0</v>
      </c>
      <c r="Y44" s="70"/>
      <c r="Z44" s="70"/>
      <c r="AA44" s="55">
        <f t="shared" si="34"/>
        <v>0</v>
      </c>
      <c r="AB44" s="27">
        <v>24150</v>
      </c>
      <c r="AC44" s="27">
        <v>24150</v>
      </c>
      <c r="AD44" s="27">
        <f t="shared" si="29"/>
        <v>0</v>
      </c>
      <c r="AE44" s="27">
        <f t="shared" si="30"/>
        <v>26150</v>
      </c>
      <c r="AF44" s="27">
        <f t="shared" si="30"/>
        <v>26150</v>
      </c>
      <c r="AG44" s="27">
        <f t="shared" si="31"/>
        <v>0</v>
      </c>
      <c r="AH44" s="146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</row>
    <row r="45" spans="1:90" s="119" customFormat="1" ht="18.600000000000001" hidden="1" customHeight="1" x14ac:dyDescent="0.25">
      <c r="A45" s="70">
        <v>10</v>
      </c>
      <c r="B45" s="143" t="s">
        <v>225</v>
      </c>
      <c r="C45" s="167" t="s">
        <v>226</v>
      </c>
      <c r="D45" s="169" t="s">
        <v>227</v>
      </c>
      <c r="E45" s="70"/>
      <c r="F45" s="51" t="s">
        <v>43</v>
      </c>
      <c r="G45" s="38" t="s">
        <v>37</v>
      </c>
      <c r="H45" s="78" t="s">
        <v>228</v>
      </c>
      <c r="I45" s="38" t="s">
        <v>229</v>
      </c>
      <c r="J45" s="38"/>
      <c r="K45" s="70"/>
      <c r="L45" s="39">
        <f t="shared" si="0"/>
        <v>0</v>
      </c>
      <c r="M45" s="32"/>
      <c r="N45" s="32"/>
      <c r="O45" s="39">
        <f t="shared" si="35"/>
        <v>0</v>
      </c>
      <c r="P45" s="70"/>
      <c r="Q45" s="70"/>
      <c r="R45" s="39">
        <f t="shared" si="32"/>
        <v>0</v>
      </c>
      <c r="S45" s="70"/>
      <c r="T45" s="70"/>
      <c r="U45" s="55">
        <f t="shared" si="23"/>
        <v>0</v>
      </c>
      <c r="V45" s="70"/>
      <c r="W45" s="70"/>
      <c r="X45" s="55">
        <f t="shared" si="33"/>
        <v>0</v>
      </c>
      <c r="Y45" s="70"/>
      <c r="Z45" s="70"/>
      <c r="AA45" s="55">
        <f t="shared" si="34"/>
        <v>0</v>
      </c>
      <c r="AB45" s="27">
        <v>16000</v>
      </c>
      <c r="AC45" s="27">
        <v>16000</v>
      </c>
      <c r="AD45" s="27">
        <f t="shared" si="29"/>
        <v>0</v>
      </c>
      <c r="AE45" s="27">
        <f t="shared" si="30"/>
        <v>16000</v>
      </c>
      <c r="AF45" s="27">
        <f t="shared" si="30"/>
        <v>16000</v>
      </c>
      <c r="AG45" s="27">
        <f t="shared" si="31"/>
        <v>0</v>
      </c>
      <c r="AH45" s="217" t="s">
        <v>230</v>
      </c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</row>
    <row r="46" spans="1:90" s="119" customFormat="1" ht="18.600000000000001" hidden="1" customHeight="1" thickBot="1" x14ac:dyDescent="0.3">
      <c r="A46" s="83">
        <v>11</v>
      </c>
      <c r="B46" s="81" t="s">
        <v>231</v>
      </c>
      <c r="C46" s="82" t="s">
        <v>232</v>
      </c>
      <c r="D46" s="83" t="s">
        <v>233</v>
      </c>
      <c r="E46" s="83"/>
      <c r="F46" s="85" t="s">
        <v>43</v>
      </c>
      <c r="G46" s="86" t="s">
        <v>179</v>
      </c>
      <c r="H46" s="86" t="s">
        <v>234</v>
      </c>
      <c r="I46" s="86" t="s">
        <v>39</v>
      </c>
      <c r="J46" s="86"/>
      <c r="K46" s="67"/>
      <c r="L46" s="87">
        <f t="shared" si="0"/>
        <v>0</v>
      </c>
      <c r="M46" s="82"/>
      <c r="N46" s="82"/>
      <c r="O46" s="87">
        <f t="shared" si="35"/>
        <v>0</v>
      </c>
      <c r="P46" s="83"/>
      <c r="Q46" s="83"/>
      <c r="R46" s="87">
        <f t="shared" si="32"/>
        <v>0</v>
      </c>
      <c r="S46" s="83"/>
      <c r="T46" s="83"/>
      <c r="U46" s="90">
        <f t="shared" si="23"/>
        <v>0</v>
      </c>
      <c r="V46" s="83"/>
      <c r="W46" s="83"/>
      <c r="X46" s="90">
        <f t="shared" si="33"/>
        <v>0</v>
      </c>
      <c r="Y46" s="83"/>
      <c r="Z46" s="83"/>
      <c r="AA46" s="90">
        <f t="shared" si="34"/>
        <v>0</v>
      </c>
      <c r="AB46" s="67">
        <v>16222.5</v>
      </c>
      <c r="AC46" s="67">
        <v>16222.5</v>
      </c>
      <c r="AD46" s="67">
        <f t="shared" si="29"/>
        <v>0</v>
      </c>
      <c r="AE46" s="67">
        <f t="shared" si="30"/>
        <v>16222.5</v>
      </c>
      <c r="AF46" s="67">
        <f t="shared" si="30"/>
        <v>16222.5</v>
      </c>
      <c r="AG46" s="67">
        <f t="shared" si="31"/>
        <v>0</v>
      </c>
      <c r="AH46" s="218"/>
      <c r="AI46" s="219"/>
      <c r="AJ46" s="219"/>
      <c r="AK46" s="219"/>
      <c r="AL46" s="219"/>
      <c r="AM46" s="219"/>
      <c r="AN46" s="219"/>
      <c r="AO46" s="219"/>
      <c r="AP46" s="21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</row>
    <row r="47" spans="1:90" s="308" customFormat="1" ht="18.600000000000001" hidden="1" customHeight="1" x14ac:dyDescent="0.25">
      <c r="A47" s="302">
        <v>1</v>
      </c>
      <c r="B47" s="303" t="s">
        <v>235</v>
      </c>
      <c r="C47" s="301" t="s">
        <v>236</v>
      </c>
      <c r="D47" s="296" t="s">
        <v>237</v>
      </c>
      <c r="E47" s="69" t="s">
        <v>53</v>
      </c>
      <c r="F47" s="301" t="s">
        <v>238</v>
      </c>
      <c r="G47" s="304" t="s">
        <v>79</v>
      </c>
      <c r="H47" s="69" t="s">
        <v>239</v>
      </c>
      <c r="I47" s="304" t="s">
        <v>39</v>
      </c>
      <c r="J47" s="304"/>
      <c r="K47" s="296"/>
      <c r="L47" s="305">
        <f t="shared" si="0"/>
        <v>0</v>
      </c>
      <c r="M47" s="296"/>
      <c r="N47" s="301"/>
      <c r="O47" s="301">
        <f>N47-M47</f>
        <v>0</v>
      </c>
      <c r="P47" s="301"/>
      <c r="Q47" s="296"/>
      <c r="R47" s="296">
        <f>Q47-P47</f>
        <v>0</v>
      </c>
      <c r="S47" s="296"/>
      <c r="T47" s="296"/>
      <c r="U47" s="296">
        <f>T47-S47</f>
        <v>0</v>
      </c>
      <c r="V47" s="296"/>
      <c r="W47" s="296"/>
      <c r="X47" s="296">
        <f>W47-V47</f>
        <v>0</v>
      </c>
      <c r="Y47" s="296"/>
      <c r="Z47" s="296"/>
      <c r="AA47" s="296">
        <f>Z47-Y47</f>
        <v>0</v>
      </c>
      <c r="AB47" s="297">
        <v>18900</v>
      </c>
      <c r="AC47" s="297">
        <v>18900</v>
      </c>
      <c r="AD47" s="306">
        <f>AC47-AB47</f>
        <v>0</v>
      </c>
      <c r="AE47" s="306">
        <f t="shared" ref="AE47:AF49" si="36">SUM(J47,M47,P47,S47,V47,Y47)+AB47</f>
        <v>18900</v>
      </c>
      <c r="AF47" s="306">
        <f t="shared" si="36"/>
        <v>18900</v>
      </c>
      <c r="AG47" s="297">
        <f>AF47-AE47</f>
        <v>0</v>
      </c>
      <c r="AH47" s="307" t="s">
        <v>240</v>
      </c>
    </row>
    <row r="48" spans="1:90" s="58" customFormat="1" ht="18.600000000000001" hidden="1" customHeight="1" x14ac:dyDescent="0.2">
      <c r="A48" s="47">
        <v>1</v>
      </c>
      <c r="B48" s="220" t="s">
        <v>241</v>
      </c>
      <c r="C48" s="221" t="s">
        <v>242</v>
      </c>
      <c r="D48" s="50" t="s">
        <v>243</v>
      </c>
      <c r="E48" s="35" t="s">
        <v>36</v>
      </c>
      <c r="F48" s="51" t="s">
        <v>130</v>
      </c>
      <c r="G48" s="52" t="s">
        <v>30</v>
      </c>
      <c r="H48" s="53" t="s">
        <v>244</v>
      </c>
      <c r="I48" s="78" t="s">
        <v>39</v>
      </c>
      <c r="J48" s="78"/>
      <c r="K48" s="50"/>
      <c r="L48" s="39">
        <f>J48-K48</f>
        <v>0</v>
      </c>
      <c r="M48" s="55"/>
      <c r="N48" s="222">
        <v>1000</v>
      </c>
      <c r="O48" s="222">
        <f>N48-M48</f>
        <v>1000</v>
      </c>
      <c r="P48" s="55"/>
      <c r="Q48" s="55">
        <v>0</v>
      </c>
      <c r="R48" s="55">
        <f>Q48-P48</f>
        <v>0</v>
      </c>
      <c r="S48" s="55"/>
      <c r="T48" s="50"/>
      <c r="U48" s="50"/>
      <c r="V48" s="50"/>
      <c r="W48" s="50"/>
      <c r="X48" s="50"/>
      <c r="Y48" s="50"/>
      <c r="Z48" s="50"/>
      <c r="AA48" s="50"/>
      <c r="AB48" s="55">
        <v>13000</v>
      </c>
      <c r="AC48" s="55">
        <v>13000</v>
      </c>
      <c r="AD48" s="89">
        <f>AC48-AB48</f>
        <v>0</v>
      </c>
      <c r="AE48" s="89">
        <f t="shared" si="36"/>
        <v>13000</v>
      </c>
      <c r="AF48" s="79">
        <f t="shared" si="36"/>
        <v>14000</v>
      </c>
      <c r="AG48" s="56">
        <f>AF48-AE48</f>
        <v>1000</v>
      </c>
      <c r="AH48" s="76"/>
      <c r="AI48" s="29"/>
      <c r="AJ48" s="29"/>
      <c r="AK48" s="29"/>
      <c r="AL48" s="29"/>
      <c r="AM48" s="29"/>
      <c r="AN48" s="29"/>
      <c r="AO48" s="29"/>
      <c r="AP48" s="29"/>
    </row>
    <row r="49" spans="1:42" s="58" customFormat="1" ht="18.600000000000001" hidden="1" customHeight="1" thickBot="1" x14ac:dyDescent="0.25">
      <c r="A49" s="223">
        <v>2</v>
      </c>
      <c r="B49" s="224" t="s">
        <v>245</v>
      </c>
      <c r="C49" s="225" t="s">
        <v>246</v>
      </c>
      <c r="D49" s="226" t="s">
        <v>200</v>
      </c>
      <c r="E49" s="35" t="s">
        <v>36</v>
      </c>
      <c r="F49" s="227" t="s">
        <v>130</v>
      </c>
      <c r="G49" s="228" t="s">
        <v>30</v>
      </c>
      <c r="H49" s="229" t="s">
        <v>247</v>
      </c>
      <c r="I49" s="230" t="s">
        <v>39</v>
      </c>
      <c r="J49" s="230"/>
      <c r="K49" s="226"/>
      <c r="L49" s="39">
        <f>J49-K49</f>
        <v>0</v>
      </c>
      <c r="M49" s="55"/>
      <c r="N49" s="222">
        <v>1000</v>
      </c>
      <c r="O49" s="222">
        <f>N49-M49</f>
        <v>1000</v>
      </c>
      <c r="P49" s="55"/>
      <c r="Q49" s="231">
        <v>0</v>
      </c>
      <c r="R49" s="55">
        <f>Q49-P49</f>
        <v>0</v>
      </c>
      <c r="S49" s="231"/>
      <c r="T49" s="226"/>
      <c r="U49" s="226"/>
      <c r="V49" s="226"/>
      <c r="W49" s="226"/>
      <c r="X49" s="226"/>
      <c r="Y49" s="226"/>
      <c r="Z49" s="226"/>
      <c r="AA49" s="226"/>
      <c r="AB49" s="231">
        <v>15000</v>
      </c>
      <c r="AC49" s="231">
        <v>15000</v>
      </c>
      <c r="AD49" s="231">
        <f>AC49-AB49</f>
        <v>0</v>
      </c>
      <c r="AE49" s="231">
        <f t="shared" si="36"/>
        <v>15000</v>
      </c>
      <c r="AF49" s="232">
        <f t="shared" si="36"/>
        <v>16000</v>
      </c>
      <c r="AG49" s="232">
        <f>AF49-AE49</f>
        <v>1000</v>
      </c>
      <c r="AH49" s="233"/>
      <c r="AI49" s="29"/>
      <c r="AJ49" s="29"/>
      <c r="AK49" s="29"/>
      <c r="AL49" s="29"/>
      <c r="AM49" s="29"/>
      <c r="AN49" s="29"/>
      <c r="AO49" s="29"/>
      <c r="AP49" s="29"/>
    </row>
    <row r="50" spans="1:42" s="29" customFormat="1" ht="18.600000000000001" hidden="1" customHeight="1" thickBot="1" x14ac:dyDescent="0.3">
      <c r="A50" s="234"/>
      <c r="B50" s="235"/>
      <c r="C50" s="237" t="s">
        <v>248</v>
      </c>
      <c r="D50" s="238">
        <f>COUNTA(A3:A49)</f>
        <v>47</v>
      </c>
      <c r="E50" s="238"/>
      <c r="F50" s="236"/>
      <c r="G50" s="239"/>
      <c r="H50" s="240"/>
      <c r="I50" s="240"/>
      <c r="J50" s="241">
        <f>SUM(J2:J49)</f>
        <v>1000</v>
      </c>
      <c r="K50" s="241">
        <f>SUM(K2:K49)</f>
        <v>1000</v>
      </c>
      <c r="L50" s="241">
        <f>SUM(L3:L49)</f>
        <v>0</v>
      </c>
      <c r="M50" s="241">
        <f>SUM(M3:M49)</f>
        <v>39210.300000000003</v>
      </c>
      <c r="N50" s="241">
        <f t="shared" ref="N50:Z50" si="37">SUM(N2:N49)</f>
        <v>49705</v>
      </c>
      <c r="O50" s="241">
        <f>SUM(O3:O49)</f>
        <v>10494.7</v>
      </c>
      <c r="P50" s="241">
        <f>SUM(P3:P49)</f>
        <v>32898.76</v>
      </c>
      <c r="Q50" s="241">
        <f t="shared" si="37"/>
        <v>39340</v>
      </c>
      <c r="R50" s="241">
        <f>SUM(R3:R49)</f>
        <v>6441.24</v>
      </c>
      <c r="S50" s="241">
        <f>SUM(S3:S49)</f>
        <v>3000</v>
      </c>
      <c r="T50" s="241">
        <f t="shared" si="37"/>
        <v>3000</v>
      </c>
      <c r="U50" s="241">
        <f>SUM(U3:U49)</f>
        <v>0</v>
      </c>
      <c r="V50" s="241">
        <f>SUM(V3:V49)</f>
        <v>1000</v>
      </c>
      <c r="W50" s="241">
        <f t="shared" si="37"/>
        <v>1000</v>
      </c>
      <c r="X50" s="241">
        <f>SUM(X3:X49)</f>
        <v>0</v>
      </c>
      <c r="Y50" s="241">
        <f>SUM(Y3:Y49)</f>
        <v>5500</v>
      </c>
      <c r="Z50" s="241">
        <f t="shared" si="37"/>
        <v>5500</v>
      </c>
      <c r="AA50" s="241">
        <f>SUM(AA3:AA49)</f>
        <v>0</v>
      </c>
      <c r="AB50" s="241">
        <f>SUM(AB3:AB49)</f>
        <v>1455191.72</v>
      </c>
      <c r="AC50" s="242">
        <f>SUM(AC2:AC49)</f>
        <v>1445989.5</v>
      </c>
      <c r="AD50" s="242">
        <f>SUM(AD3:AD49)</f>
        <v>-9202.2200000000012</v>
      </c>
      <c r="AE50" s="242">
        <f>SUM(AE3:AE49)</f>
        <v>1537800.7799999998</v>
      </c>
      <c r="AF50" s="243">
        <f>SUM(AF3:AF49)</f>
        <v>1545534.5</v>
      </c>
      <c r="AG50" s="244">
        <f>SUM(AG3:AG49)</f>
        <v>7733.7200000000012</v>
      </c>
      <c r="AH50" s="245"/>
    </row>
    <row r="51" spans="1:42" s="203" customFormat="1" ht="18.600000000000001" customHeight="1" x14ac:dyDescent="0.25">
      <c r="B51" s="246"/>
      <c r="D51" s="247"/>
      <c r="E51" s="248"/>
      <c r="F51" s="3"/>
      <c r="G51" s="249"/>
      <c r="H51" s="250"/>
      <c r="I51" s="251"/>
      <c r="J51" s="251"/>
      <c r="K51" s="247"/>
      <c r="L51" s="247"/>
      <c r="M51" s="247"/>
      <c r="AC51" s="252"/>
      <c r="AD51" s="252"/>
      <c r="AE51" s="252"/>
      <c r="AF51" s="253"/>
      <c r="AG51" s="253"/>
      <c r="AI51" s="29"/>
      <c r="AJ51" s="29"/>
      <c r="AK51" s="29"/>
      <c r="AL51" s="29"/>
      <c r="AM51" s="29"/>
      <c r="AN51" s="29"/>
      <c r="AO51" s="29"/>
      <c r="AP51" s="29"/>
    </row>
    <row r="52" spans="1:42" ht="18.600000000000001" customHeight="1" x14ac:dyDescent="0.25">
      <c r="A52" s="247"/>
      <c r="F52" s="311"/>
      <c r="G52" s="311"/>
      <c r="K52" s="247"/>
      <c r="L52" s="247"/>
      <c r="M52" s="247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52"/>
      <c r="AD52" s="252"/>
      <c r="AE52" s="252"/>
      <c r="AF52" s="253"/>
      <c r="AG52" s="253"/>
      <c r="AH52" s="257"/>
    </row>
    <row r="53" spans="1:42" ht="18.600000000000001" customHeight="1" x14ac:dyDescent="0.25">
      <c r="B53" s="258"/>
      <c r="K53" s="3"/>
      <c r="L53" s="3"/>
      <c r="M53" s="3"/>
      <c r="N53" s="254"/>
      <c r="O53" s="254"/>
      <c r="P53" s="254"/>
      <c r="Q53" s="257"/>
      <c r="R53" s="257"/>
      <c r="S53" s="257"/>
    </row>
    <row r="54" spans="1:42" ht="18.600000000000001" customHeight="1" x14ac:dyDescent="0.25">
      <c r="B54" s="260"/>
      <c r="K54" s="254"/>
      <c r="L54" s="254"/>
      <c r="M54" s="254"/>
      <c r="N54" s="254"/>
      <c r="O54" s="254"/>
      <c r="P54" s="254"/>
      <c r="Q54" s="257"/>
      <c r="R54" s="257"/>
      <c r="S54" s="257"/>
    </row>
    <row r="55" spans="1:42" ht="18.600000000000001" customHeight="1" x14ac:dyDescent="0.25">
      <c r="B55" s="261"/>
      <c r="E55" s="262"/>
      <c r="K55" s="254"/>
      <c r="L55" s="254"/>
      <c r="M55" s="254"/>
      <c r="N55" s="254"/>
      <c r="O55" s="254"/>
      <c r="P55" s="254"/>
      <c r="Q55" s="257"/>
      <c r="R55" s="257"/>
      <c r="S55" s="257"/>
    </row>
    <row r="56" spans="1:42" ht="18.600000000000001" customHeight="1" x14ac:dyDescent="0.25">
      <c r="B56" s="261"/>
      <c r="C56" s="261"/>
      <c r="K56" s="254"/>
      <c r="L56" s="254"/>
      <c r="M56" s="254"/>
    </row>
    <row r="57" spans="1:42" ht="18.600000000000001" customHeight="1" x14ac:dyDescent="0.25">
      <c r="C57" s="261"/>
      <c r="E57" s="255" t="s">
        <v>249</v>
      </c>
      <c r="K57" s="254"/>
      <c r="L57" s="254"/>
      <c r="M57" s="254"/>
    </row>
    <row r="58" spans="1:42" ht="18.600000000000001" customHeight="1" x14ac:dyDescent="0.25">
      <c r="K58" s="254"/>
      <c r="L58" s="254"/>
      <c r="M58" s="254"/>
    </row>
    <row r="59" spans="1:42" ht="18.600000000000001" customHeight="1" x14ac:dyDescent="0.25">
      <c r="K59" s="254"/>
      <c r="L59" s="254"/>
      <c r="M59" s="254"/>
    </row>
    <row r="60" spans="1:42" ht="18.600000000000001" customHeight="1" x14ac:dyDescent="0.25">
      <c r="D60" s="256"/>
      <c r="K60" s="254"/>
      <c r="L60" s="254"/>
      <c r="M60" s="254"/>
    </row>
    <row r="61" spans="1:42" ht="18.600000000000001" customHeight="1" x14ac:dyDescent="0.25">
      <c r="K61" s="254"/>
      <c r="L61" s="254"/>
      <c r="M61" s="254"/>
    </row>
    <row r="62" spans="1:42" ht="18.600000000000001" customHeight="1" x14ac:dyDescent="0.25">
      <c r="K62" s="254"/>
      <c r="L62" s="254"/>
      <c r="M62" s="254"/>
    </row>
    <row r="63" spans="1:42" ht="18.600000000000001" customHeight="1" x14ac:dyDescent="0.25">
      <c r="K63" s="254"/>
      <c r="L63" s="254"/>
      <c r="M63" s="254"/>
    </row>
    <row r="64" spans="1:42" ht="18.600000000000001" customHeight="1" x14ac:dyDescent="0.25">
      <c r="K64" s="254"/>
      <c r="L64" s="254"/>
      <c r="M64" s="254"/>
    </row>
    <row r="65" spans="11:13" ht="18.600000000000001" customHeight="1" x14ac:dyDescent="0.25">
      <c r="K65" s="254"/>
      <c r="L65" s="254"/>
      <c r="M65" s="254"/>
    </row>
    <row r="66" spans="11:13" ht="18.600000000000001" customHeight="1" x14ac:dyDescent="0.25">
      <c r="K66" s="254"/>
      <c r="L66" s="254"/>
      <c r="M66" s="254"/>
    </row>
    <row r="67" spans="11:13" ht="18.600000000000001" customHeight="1" x14ac:dyDescent="0.25">
      <c r="K67" s="254"/>
      <c r="L67" s="254"/>
      <c r="M67" s="254"/>
    </row>
    <row r="68" spans="11:13" ht="18.600000000000001" customHeight="1" x14ac:dyDescent="0.25">
      <c r="K68" s="254"/>
      <c r="L68" s="254"/>
      <c r="M68" s="254"/>
    </row>
    <row r="69" spans="11:13" ht="18.600000000000001" customHeight="1" x14ac:dyDescent="0.25">
      <c r="K69" s="254"/>
      <c r="L69" s="254"/>
      <c r="M69" s="254"/>
    </row>
    <row r="70" spans="11:13" ht="18.600000000000001" customHeight="1" x14ac:dyDescent="0.25">
      <c r="K70" s="254"/>
      <c r="L70" s="254"/>
      <c r="M70" s="254"/>
    </row>
    <row r="71" spans="11:13" ht="18.600000000000001" customHeight="1" x14ac:dyDescent="0.25">
      <c r="K71" s="254"/>
      <c r="L71" s="254"/>
      <c r="M71" s="254"/>
    </row>
    <row r="72" spans="11:13" ht="18.600000000000001" customHeight="1" x14ac:dyDescent="0.25">
      <c r="K72" s="254"/>
      <c r="L72" s="254"/>
      <c r="M72" s="254"/>
    </row>
    <row r="73" spans="11:13" ht="18.600000000000001" customHeight="1" x14ac:dyDescent="0.25">
      <c r="K73" s="254"/>
      <c r="L73" s="254"/>
      <c r="M73" s="254"/>
    </row>
    <row r="74" spans="11:13" ht="18.600000000000001" customHeight="1" x14ac:dyDescent="0.25">
      <c r="K74" s="254"/>
      <c r="L74" s="254"/>
      <c r="M74" s="254"/>
    </row>
  </sheetData>
  <autoFilter ref="A2:CL50" xr:uid="{46784E46-CCC5-4EAD-9889-0652F45BB721}">
    <filterColumn colId="5">
      <filters>
        <filter val="บริษัท นิกิวาอิ กรุ๊ป จำกัด (สำนักงานใหญ่)"/>
      </filters>
    </filterColumn>
  </autoFilter>
  <mergeCells count="2">
    <mergeCell ref="A1:H1"/>
    <mergeCell ref="F52:G52"/>
  </mergeCells>
  <dataValidations count="2">
    <dataValidation type="list" showErrorMessage="1" errorTitle="An invalid value was entered" error="Please select data from the list" sqref="J33:J34 I66:J2980 I51:J64 F61:F2980 G53:G55 G51 G57:G2980 H51:H2980 M4 M47 J26:K27 M35 E28:E29 E41 E22 K51:AB57 E35 E4:E5 E48:E49 E10 F3:F50 K59:AB2980 K58:P58 T58:AB58 K33:K36 G36:K36 K47 K4 M36:N36 P36:Q36 S36:T36 V36:W36 Y36:Z36" xr:uid="{981EFA93-6B32-4B77-8E56-3EF609EC4526}">
      <formula1>#REF!</formula1>
    </dataValidation>
    <dataValidation type="list" sqref="I66:J2980 I51:J64 G53:G55 G51 G57:G2980 H51:H2980 M4 J33:J34 M47 M35:M36 K51:AB57 K59:AB2980 K58:P58 T58:AB58 K33:K36 G36:K36 K47 K4 J26:K27 N36 P36:Q36 S36:T36 V36:W36 Y36:Z36" xr:uid="{095F4CE3-27AE-4606-BC50-8CDDF69C92DD}">
      <formula1>#REF!</formula1>
    </dataValidation>
  </dataValidations>
  <printOptions horizontalCentered="1"/>
  <pageMargins left="0" right="0" top="0" bottom="0" header="0.31496062992125984" footer="0.31496062992125984"/>
  <pageSetup paperSize="9" scale="55" orientation="portrait" r:id="rId1"/>
  <colBreaks count="1" manualBreakCount="1"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2026</vt:lpstr>
      <vt:lpstr>'Salary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 Nigiwai Group</dc:creator>
  <cp:lastModifiedBy>CTO Nigiwai Group</cp:lastModifiedBy>
  <dcterms:created xsi:type="dcterms:W3CDTF">2026-01-23T07:30:51Z</dcterms:created>
  <dcterms:modified xsi:type="dcterms:W3CDTF">2026-01-30T10:56:42Z</dcterms:modified>
</cp:coreProperties>
</file>